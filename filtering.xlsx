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13_ncr:1_{6CCEA1FA-FAC6-4A3C-8167-A7C64DA20B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nk Statement" sheetId="1" r:id="rId1"/>
    <sheet name="Sheet2" sheetId="2" r:id="rId2"/>
    <sheet name="Sheet3" sheetId="3" r:id="rId3"/>
  </sheets>
  <definedNames>
    <definedName name="_xlnm._FilterDatabase" localSheetId="0" hidden="1">'Bank Statement'!$B$5:$F$186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x7O/sU1Wgg5RVKmLNPUHNiw7M6LLqrS+NwK+V/tbq0="/>
    </ext>
  </extLst>
</workbook>
</file>

<file path=xl/calcChain.xml><?xml version="1.0" encoding="utf-8"?>
<calcChain xmlns="http://schemas.openxmlformats.org/spreadsheetml/2006/main">
  <c r="E187" i="1" l="1"/>
  <c r="F187" i="1"/>
  <c r="D187" i="1"/>
  <c r="F6" i="1"/>
  <c r="F7" i="1" s="1"/>
  <c r="F8" i="1" l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G2" i="1" l="1"/>
  <c r="G3" i="1"/>
</calcChain>
</file>

<file path=xl/sharedStrings.xml><?xml version="1.0" encoding="utf-8"?>
<sst xmlns="http://schemas.openxmlformats.org/spreadsheetml/2006/main" count="191" uniqueCount="33">
  <si>
    <t xml:space="preserve">Client Name: </t>
  </si>
  <si>
    <t>Buy Now Express Ltd</t>
  </si>
  <si>
    <t>Bank statement</t>
  </si>
  <si>
    <t>Balance</t>
  </si>
  <si>
    <t>Date</t>
  </si>
  <si>
    <t>Details</t>
  </si>
  <si>
    <t>Paid In</t>
  </si>
  <si>
    <t>Paid Out</t>
  </si>
  <si>
    <t>Deposit Director</t>
  </si>
  <si>
    <t>ARVAL</t>
  </si>
  <si>
    <t>Automated Credit</t>
  </si>
  <si>
    <t>Paypoint</t>
  </si>
  <si>
    <t>Bestway Wholesale</t>
  </si>
  <si>
    <t>Wolselley</t>
  </si>
  <si>
    <t>Tasty Bakery</t>
  </si>
  <si>
    <t>Splendour Snacks</t>
  </si>
  <si>
    <t>Mahal Dairy</t>
  </si>
  <si>
    <t>NewsFlash</t>
  </si>
  <si>
    <t>Shell</t>
  </si>
  <si>
    <t>Camden</t>
  </si>
  <si>
    <t>Exotic Fruits</t>
  </si>
  <si>
    <t>Esso</t>
  </si>
  <si>
    <t>Electra Lites</t>
  </si>
  <si>
    <t>Wages - Saif</t>
  </si>
  <si>
    <t>Bank Charges</t>
  </si>
  <si>
    <t>TVS Cash &amp; Carry Ltd</t>
  </si>
  <si>
    <t>BP</t>
  </si>
  <si>
    <t>Post Office</t>
  </si>
  <si>
    <t>Lazari Investments</t>
  </si>
  <si>
    <t>LIDL</t>
  </si>
  <si>
    <t>Dhamecha Food Ltd</t>
  </si>
  <si>
    <t>Bank Loyalty Reward</t>
  </si>
  <si>
    <t>Total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</si>
</sst>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"/>
    <numFmt numFmtId="166" formatCode="&quot;£&quot;#,##0.00"/>
  </numFmts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7" fontId="3" fillId="0" borderId="0" xfId="0" applyNumberFormat="1" applyFont="1"/>
    <xf numFmtId="14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0" fontId="4" fillId="0" borderId="0" xfId="0" applyFont="1"/>
    <xf numFmtId="0" fontId="3" fillId="0" borderId="1" xfId="0" applyFont="1" applyBorder="1"/>
    <xf numFmtId="164" fontId="3" fillId="0" borderId="0" xfId="0" applyNumberFormat="1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/>
    <xf numFmtId="0" fontId="3" fillId="0" borderId="3" xfId="0" applyFont="1" applyBorder="1" applyAlignment="1">
      <alignment horizontal="center"/>
    </xf>
    <xf numFmtId="164" fontId="4" fillId="0" borderId="0" xfId="0" applyNumberFormat="1" applyFont="1"/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3" fillId="0" borderId="4" xfId="0" applyFont="1" applyFill="1" applyBorder="1" applyAlignment="1">
      <alignment horizontal="center"/>
    </xf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00"/>
  <sheetViews>
    <sheetView tabSelected="1" topLeftCell="A167" workbookViewId="0">
      <selection activeCell="E188" sqref="E188"/>
    </sheetView>
  </sheetViews>
  <sheetFormatPr defaultColWidth="14.42578125" defaultRowHeight="15" customHeight="1" x14ac:dyDescent="0.25"/>
  <cols>
    <col min="1" max="1" width="8.7109375" customWidth="1"/>
    <col min="2" max="2" width="19" customWidth="1"/>
    <col min="3" max="3" width="18.28515625" customWidth="1"/>
    <col min="4" max="4" width="15.140625" customWidth="1"/>
    <col min="5" max="5" width="17.28515625" customWidth="1"/>
    <col min="6" max="6" width="14.28515625" customWidth="1"/>
    <col min="7" max="7" width="17.140625" customWidth="1"/>
    <col min="8" max="8" width="8.7109375" customWidth="1"/>
    <col min="9" max="9" width="11.28515625" customWidth="1"/>
    <col min="10" max="10" width="11.5703125" customWidth="1"/>
    <col min="11" max="26" width="8.7109375" customWidth="1"/>
  </cols>
  <sheetData>
    <row r="1" spans="2:9" ht="14.25" customHeight="1" x14ac:dyDescent="0.3">
      <c r="B1" s="1" t="s">
        <v>0</v>
      </c>
      <c r="C1" s="1" t="s">
        <v>1</v>
      </c>
    </row>
    <row r="2" spans="2:9" ht="14.25" customHeight="1" x14ac:dyDescent="0.3">
      <c r="B2" s="1" t="s">
        <v>2</v>
      </c>
      <c r="C2" s="1"/>
      <c r="F2" s="2" t="s">
        <v>3</v>
      </c>
      <c r="G2" s="3">
        <f>SUM(F6:F187)</f>
        <v>5542026.6799999978</v>
      </c>
    </row>
    <row r="3" spans="2:9" ht="14.25" customHeight="1" x14ac:dyDescent="0.25">
      <c r="C3" s="4"/>
      <c r="G3" s="2">
        <f>SUBTOTAL(9,F6:F186)</f>
        <v>2771013.3399999989</v>
      </c>
    </row>
    <row r="4" spans="2:9" ht="14.25" customHeight="1" x14ac:dyDescent="0.25"/>
    <row r="5" spans="2:9" ht="14.25" customHeight="1" x14ac:dyDescent="0.3">
      <c r="B5" s="16" t="s">
        <v>4</v>
      </c>
      <c r="C5" s="16" t="s">
        <v>5</v>
      </c>
      <c r="D5" s="17" t="s">
        <v>6</v>
      </c>
      <c r="E5" s="17" t="s">
        <v>7</v>
      </c>
      <c r="F5" s="17" t="s">
        <v>3</v>
      </c>
    </row>
    <row r="6" spans="2:9" ht="14.25" customHeight="1" x14ac:dyDescent="0.25">
      <c r="B6" s="5">
        <v>41334</v>
      </c>
      <c r="C6" s="6" t="s">
        <v>8</v>
      </c>
      <c r="D6" s="7">
        <v>20000</v>
      </c>
      <c r="E6" s="7"/>
      <c r="F6" s="8">
        <f>D6</f>
        <v>20000</v>
      </c>
    </row>
    <row r="7" spans="2:9" ht="14.25" customHeight="1" x14ac:dyDescent="0.25">
      <c r="B7" s="5">
        <v>41334</v>
      </c>
      <c r="C7" s="6" t="s">
        <v>9</v>
      </c>
      <c r="D7" s="7"/>
      <c r="E7" s="7">
        <v>519.34</v>
      </c>
      <c r="F7" s="8">
        <f t="shared" ref="F7:F186" si="0">F6+D7-E7</f>
        <v>19480.66</v>
      </c>
    </row>
    <row r="8" spans="2:9" ht="14.25" customHeight="1" x14ac:dyDescent="0.25">
      <c r="B8" s="5">
        <v>41335</v>
      </c>
      <c r="C8" s="6" t="s">
        <v>10</v>
      </c>
      <c r="D8" s="7">
        <v>2290</v>
      </c>
      <c r="E8" s="7"/>
      <c r="F8" s="8">
        <f t="shared" si="0"/>
        <v>21770.66</v>
      </c>
    </row>
    <row r="9" spans="2:9" ht="14.25" customHeight="1" x14ac:dyDescent="0.25">
      <c r="B9" s="5">
        <v>41335</v>
      </c>
      <c r="C9" s="6" t="s">
        <v>11</v>
      </c>
      <c r="D9" s="7"/>
      <c r="E9" s="7">
        <v>753.25</v>
      </c>
      <c r="F9" s="8">
        <f t="shared" si="0"/>
        <v>21017.41</v>
      </c>
    </row>
    <row r="10" spans="2:9" ht="14.25" customHeight="1" x14ac:dyDescent="0.25">
      <c r="B10" s="5">
        <v>41337</v>
      </c>
      <c r="C10" s="6" t="s">
        <v>12</v>
      </c>
      <c r="D10" s="7"/>
      <c r="E10" s="7">
        <v>12.29</v>
      </c>
      <c r="F10" s="8">
        <f t="shared" si="0"/>
        <v>21005.119999999999</v>
      </c>
      <c r="I10" s="9"/>
    </row>
    <row r="11" spans="2:9" ht="14.25" customHeight="1" x14ac:dyDescent="0.25">
      <c r="B11" s="5">
        <v>41337</v>
      </c>
      <c r="C11" s="6" t="s">
        <v>13</v>
      </c>
      <c r="D11" s="7"/>
      <c r="E11" s="7">
        <v>182.11</v>
      </c>
      <c r="F11" s="8">
        <f t="shared" si="0"/>
        <v>20823.009999999998</v>
      </c>
    </row>
    <row r="12" spans="2:9" ht="14.25" customHeight="1" x14ac:dyDescent="0.25">
      <c r="B12" s="5">
        <v>41337</v>
      </c>
      <c r="C12" s="6" t="s">
        <v>11</v>
      </c>
      <c r="D12" s="7"/>
      <c r="E12" s="7">
        <v>795.32</v>
      </c>
      <c r="F12" s="8">
        <f t="shared" si="0"/>
        <v>20027.689999999999</v>
      </c>
    </row>
    <row r="13" spans="2:9" ht="14.25" customHeight="1" x14ac:dyDescent="0.25">
      <c r="B13" s="5">
        <v>41338</v>
      </c>
      <c r="C13" s="6" t="s">
        <v>14</v>
      </c>
      <c r="D13" s="7"/>
      <c r="E13" s="7">
        <v>113.15</v>
      </c>
      <c r="F13" s="8">
        <f t="shared" si="0"/>
        <v>19914.539999999997</v>
      </c>
    </row>
    <row r="14" spans="2:9" ht="14.25" customHeight="1" x14ac:dyDescent="0.25">
      <c r="B14" s="5">
        <v>41339</v>
      </c>
      <c r="C14" s="6" t="s">
        <v>11</v>
      </c>
      <c r="D14" s="7">
        <v>47.1</v>
      </c>
      <c r="E14" s="10"/>
      <c r="F14" s="8">
        <f t="shared" si="0"/>
        <v>19961.639999999996</v>
      </c>
    </row>
    <row r="15" spans="2:9" ht="14.25" customHeight="1" x14ac:dyDescent="0.25">
      <c r="B15" s="5">
        <v>41339</v>
      </c>
      <c r="C15" s="6" t="s">
        <v>11</v>
      </c>
      <c r="D15" s="7"/>
      <c r="E15" s="7">
        <v>691</v>
      </c>
      <c r="F15" s="8">
        <f t="shared" si="0"/>
        <v>19270.639999999996</v>
      </c>
    </row>
    <row r="16" spans="2:9" ht="14.25" customHeight="1" x14ac:dyDescent="0.25">
      <c r="B16" s="5">
        <v>41339</v>
      </c>
      <c r="C16" s="6" t="s">
        <v>11</v>
      </c>
      <c r="D16" s="7"/>
      <c r="E16" s="11">
        <v>575.5</v>
      </c>
      <c r="F16" s="8">
        <f t="shared" si="0"/>
        <v>18695.139999999996</v>
      </c>
    </row>
    <row r="17" spans="2:6" ht="14.25" customHeight="1" x14ac:dyDescent="0.25">
      <c r="B17" s="5">
        <v>41340</v>
      </c>
      <c r="C17" s="6" t="s">
        <v>15</v>
      </c>
      <c r="D17" s="7"/>
      <c r="E17" s="7">
        <v>196.04</v>
      </c>
      <c r="F17" s="8">
        <f t="shared" si="0"/>
        <v>18499.099999999995</v>
      </c>
    </row>
    <row r="18" spans="2:6" ht="14.25" customHeight="1" x14ac:dyDescent="0.25">
      <c r="B18" s="5">
        <v>41343</v>
      </c>
      <c r="C18" s="6" t="s">
        <v>16</v>
      </c>
      <c r="D18" s="7"/>
      <c r="E18" s="7">
        <v>138.80000000000001</v>
      </c>
      <c r="F18" s="8">
        <f t="shared" si="0"/>
        <v>18360.299999999996</v>
      </c>
    </row>
    <row r="19" spans="2:6" ht="14.25" customHeight="1" x14ac:dyDescent="0.25">
      <c r="B19" s="5">
        <v>41343</v>
      </c>
      <c r="C19" s="6" t="s">
        <v>17</v>
      </c>
      <c r="D19" s="7"/>
      <c r="E19" s="7">
        <v>118.42</v>
      </c>
      <c r="F19" s="8">
        <f t="shared" si="0"/>
        <v>18241.879999999997</v>
      </c>
    </row>
    <row r="20" spans="2:6" ht="14.25" customHeight="1" x14ac:dyDescent="0.25">
      <c r="B20" s="5">
        <v>41343</v>
      </c>
      <c r="C20" s="6" t="s">
        <v>11</v>
      </c>
      <c r="D20" s="7"/>
      <c r="E20" s="7">
        <v>830.2</v>
      </c>
      <c r="F20" s="8">
        <f t="shared" si="0"/>
        <v>17411.679999999997</v>
      </c>
    </row>
    <row r="21" spans="2:6" ht="14.25" customHeight="1" x14ac:dyDescent="0.25">
      <c r="B21" s="5">
        <v>41344</v>
      </c>
      <c r="C21" s="6" t="s">
        <v>18</v>
      </c>
      <c r="D21" s="7"/>
      <c r="E21" s="7">
        <v>49.31</v>
      </c>
      <c r="F21" s="8">
        <f t="shared" si="0"/>
        <v>17362.369999999995</v>
      </c>
    </row>
    <row r="22" spans="2:6" ht="14.25" customHeight="1" x14ac:dyDescent="0.25">
      <c r="B22" s="5">
        <v>41344</v>
      </c>
      <c r="C22" s="6" t="s">
        <v>12</v>
      </c>
      <c r="D22" s="7"/>
      <c r="E22" s="7">
        <v>362.17</v>
      </c>
      <c r="F22" s="8">
        <f t="shared" si="0"/>
        <v>17000.199999999997</v>
      </c>
    </row>
    <row r="23" spans="2:6" ht="14.25" customHeight="1" x14ac:dyDescent="0.25">
      <c r="B23" s="5">
        <v>41344</v>
      </c>
      <c r="C23" s="6" t="s">
        <v>11</v>
      </c>
      <c r="D23" s="7"/>
      <c r="E23" s="7">
        <v>77.459999999999994</v>
      </c>
      <c r="F23" s="8">
        <f t="shared" si="0"/>
        <v>16922.739999999998</v>
      </c>
    </row>
    <row r="24" spans="2:6" ht="14.25" customHeight="1" x14ac:dyDescent="0.25">
      <c r="B24" s="5">
        <v>41344</v>
      </c>
      <c r="C24" s="6" t="s">
        <v>12</v>
      </c>
      <c r="D24" s="7">
        <v>2.4</v>
      </c>
      <c r="E24" s="10"/>
      <c r="F24" s="8">
        <f t="shared" si="0"/>
        <v>16925.14</v>
      </c>
    </row>
    <row r="25" spans="2:6" ht="14.25" customHeight="1" x14ac:dyDescent="0.25">
      <c r="B25" s="5">
        <v>41344</v>
      </c>
      <c r="C25" s="6" t="s">
        <v>12</v>
      </c>
      <c r="D25" s="7"/>
      <c r="E25" s="7">
        <v>351.97</v>
      </c>
      <c r="F25" s="8">
        <f t="shared" si="0"/>
        <v>16573.169999999998</v>
      </c>
    </row>
    <row r="26" spans="2:6" ht="14.25" customHeight="1" x14ac:dyDescent="0.25">
      <c r="B26" s="5">
        <v>41344</v>
      </c>
      <c r="C26" s="6" t="s">
        <v>12</v>
      </c>
      <c r="D26" s="7"/>
      <c r="E26" s="11">
        <v>115.49</v>
      </c>
      <c r="F26" s="8">
        <f t="shared" si="0"/>
        <v>16457.679999999997</v>
      </c>
    </row>
    <row r="27" spans="2:6" ht="14.25" customHeight="1" x14ac:dyDescent="0.25">
      <c r="B27" s="5">
        <v>41344</v>
      </c>
      <c r="C27" s="6" t="s">
        <v>11</v>
      </c>
      <c r="D27" s="7"/>
      <c r="E27" s="7">
        <v>693</v>
      </c>
      <c r="F27" s="8">
        <f t="shared" si="0"/>
        <v>15764.679999999997</v>
      </c>
    </row>
    <row r="28" spans="2:6" ht="14.25" customHeight="1" x14ac:dyDescent="0.25">
      <c r="B28" s="5">
        <v>41344</v>
      </c>
      <c r="C28" s="6" t="s">
        <v>14</v>
      </c>
      <c r="D28" s="7"/>
      <c r="E28" s="7">
        <v>82.7</v>
      </c>
      <c r="F28" s="8">
        <f t="shared" si="0"/>
        <v>15681.979999999996</v>
      </c>
    </row>
    <row r="29" spans="2:6" ht="14.25" customHeight="1" x14ac:dyDescent="0.25">
      <c r="B29" s="5">
        <v>41344</v>
      </c>
      <c r="C29" s="6" t="s">
        <v>11</v>
      </c>
      <c r="D29" s="7"/>
      <c r="E29" s="7">
        <v>522</v>
      </c>
      <c r="F29" s="8">
        <f t="shared" si="0"/>
        <v>15159.979999999996</v>
      </c>
    </row>
    <row r="30" spans="2:6" ht="14.25" customHeight="1" x14ac:dyDescent="0.25">
      <c r="B30" s="5">
        <v>41349</v>
      </c>
      <c r="C30" s="6" t="s">
        <v>11</v>
      </c>
      <c r="D30" s="7">
        <v>41.65</v>
      </c>
      <c r="E30" s="10"/>
      <c r="F30" s="8">
        <f t="shared" si="0"/>
        <v>15201.629999999996</v>
      </c>
    </row>
    <row r="31" spans="2:6" ht="14.25" customHeight="1" x14ac:dyDescent="0.25">
      <c r="B31" s="5">
        <v>41350</v>
      </c>
      <c r="C31" s="6" t="s">
        <v>19</v>
      </c>
      <c r="D31" s="7"/>
      <c r="E31" s="7">
        <v>294.83999999999997</v>
      </c>
      <c r="F31" s="8">
        <f t="shared" si="0"/>
        <v>14906.789999999995</v>
      </c>
    </row>
    <row r="32" spans="2:6" ht="14.25" customHeight="1" x14ac:dyDescent="0.25">
      <c r="B32" s="5">
        <v>41350</v>
      </c>
      <c r="C32" s="6" t="s">
        <v>10</v>
      </c>
      <c r="D32" s="7">
        <v>110</v>
      </c>
      <c r="E32" s="11"/>
      <c r="F32" s="8">
        <f t="shared" si="0"/>
        <v>15016.789999999995</v>
      </c>
    </row>
    <row r="33" spans="2:9" ht="14.25" customHeight="1" x14ac:dyDescent="0.25">
      <c r="B33" s="5">
        <v>41351</v>
      </c>
      <c r="C33" s="6" t="s">
        <v>10</v>
      </c>
      <c r="D33" s="7">
        <v>290</v>
      </c>
      <c r="E33" s="7"/>
      <c r="F33" s="8">
        <f t="shared" si="0"/>
        <v>15306.789999999995</v>
      </c>
    </row>
    <row r="34" spans="2:9" ht="14.25" customHeight="1" x14ac:dyDescent="0.25">
      <c r="B34" s="5">
        <v>41351</v>
      </c>
      <c r="C34" s="6" t="s">
        <v>11</v>
      </c>
      <c r="D34" s="7"/>
      <c r="E34" s="7">
        <v>535</v>
      </c>
      <c r="F34" s="8">
        <f t="shared" si="0"/>
        <v>14771.789999999995</v>
      </c>
    </row>
    <row r="35" spans="2:9" ht="14.25" customHeight="1" x14ac:dyDescent="0.25">
      <c r="B35" s="5">
        <v>41351</v>
      </c>
      <c r="C35" s="6" t="s">
        <v>11</v>
      </c>
      <c r="D35" s="7"/>
      <c r="E35" s="7">
        <v>723</v>
      </c>
      <c r="F35" s="8">
        <f t="shared" si="0"/>
        <v>14048.789999999995</v>
      </c>
    </row>
    <row r="36" spans="2:9" ht="14.25" customHeight="1" x14ac:dyDescent="0.25">
      <c r="B36" s="5">
        <v>41353</v>
      </c>
      <c r="C36" s="6" t="s">
        <v>20</v>
      </c>
      <c r="D36" s="7"/>
      <c r="E36" s="7">
        <v>100</v>
      </c>
      <c r="F36" s="8">
        <f t="shared" si="0"/>
        <v>13948.789999999995</v>
      </c>
    </row>
    <row r="37" spans="2:9" ht="14.25" customHeight="1" x14ac:dyDescent="0.25">
      <c r="B37" s="5">
        <v>41353</v>
      </c>
      <c r="C37" s="6" t="s">
        <v>10</v>
      </c>
      <c r="D37" s="7">
        <v>405</v>
      </c>
      <c r="E37" s="7"/>
      <c r="F37" s="8">
        <f t="shared" si="0"/>
        <v>14353.789999999995</v>
      </c>
    </row>
    <row r="38" spans="2:9" ht="14.25" customHeight="1" x14ac:dyDescent="0.25">
      <c r="B38" s="5">
        <v>41353</v>
      </c>
      <c r="C38" s="6" t="s">
        <v>11</v>
      </c>
      <c r="D38" s="7"/>
      <c r="E38" s="7">
        <v>769</v>
      </c>
      <c r="F38" s="8">
        <f t="shared" si="0"/>
        <v>13584.789999999995</v>
      </c>
    </row>
    <row r="39" spans="2:9" ht="14.25" customHeight="1" x14ac:dyDescent="0.25">
      <c r="B39" s="5">
        <v>41353</v>
      </c>
      <c r="C39" s="6" t="s">
        <v>11</v>
      </c>
      <c r="D39" s="7">
        <v>38.99</v>
      </c>
      <c r="E39" s="10"/>
      <c r="F39" s="8">
        <f t="shared" si="0"/>
        <v>13623.779999999995</v>
      </c>
      <c r="I39" s="3"/>
    </row>
    <row r="40" spans="2:9" ht="14.25" customHeight="1" x14ac:dyDescent="0.25">
      <c r="B40" s="5">
        <v>41354</v>
      </c>
      <c r="C40" s="6" t="s">
        <v>10</v>
      </c>
      <c r="D40" s="7">
        <v>410</v>
      </c>
      <c r="E40" s="7"/>
      <c r="F40" s="8">
        <f t="shared" si="0"/>
        <v>14033.779999999995</v>
      </c>
    </row>
    <row r="41" spans="2:9" ht="14.25" customHeight="1" x14ac:dyDescent="0.25">
      <c r="B41" s="5">
        <v>41354</v>
      </c>
      <c r="C41" s="6" t="s">
        <v>11</v>
      </c>
      <c r="D41" s="7"/>
      <c r="E41" s="11">
        <v>632.5</v>
      </c>
      <c r="F41" s="8">
        <f t="shared" si="0"/>
        <v>13401.279999999995</v>
      </c>
    </row>
    <row r="42" spans="2:9" ht="14.25" customHeight="1" x14ac:dyDescent="0.25">
      <c r="B42" s="5">
        <v>41354</v>
      </c>
      <c r="C42" s="6" t="s">
        <v>11</v>
      </c>
      <c r="D42" s="7"/>
      <c r="E42" s="7">
        <v>705</v>
      </c>
      <c r="F42" s="8">
        <f t="shared" si="0"/>
        <v>12696.279999999995</v>
      </c>
    </row>
    <row r="43" spans="2:9" ht="14.25" customHeight="1" x14ac:dyDescent="0.25">
      <c r="B43" s="5">
        <v>41355</v>
      </c>
      <c r="C43" s="6" t="s">
        <v>10</v>
      </c>
      <c r="D43" s="7">
        <v>270</v>
      </c>
      <c r="E43" s="7"/>
      <c r="F43" s="8">
        <f t="shared" si="0"/>
        <v>12966.279999999995</v>
      </c>
    </row>
    <row r="44" spans="2:9" ht="14.25" customHeight="1" x14ac:dyDescent="0.25">
      <c r="B44" s="5">
        <v>41355</v>
      </c>
      <c r="C44" s="6" t="s">
        <v>20</v>
      </c>
      <c r="D44" s="7"/>
      <c r="E44" s="7">
        <v>41</v>
      </c>
      <c r="F44" s="8">
        <f t="shared" si="0"/>
        <v>12925.279999999995</v>
      </c>
    </row>
    <row r="45" spans="2:9" ht="14.25" customHeight="1" x14ac:dyDescent="0.25">
      <c r="B45" s="5">
        <v>41355</v>
      </c>
      <c r="C45" s="6" t="s">
        <v>11</v>
      </c>
      <c r="D45" s="7"/>
      <c r="E45" s="7">
        <v>799</v>
      </c>
      <c r="F45" s="8">
        <f t="shared" si="0"/>
        <v>12126.279999999995</v>
      </c>
    </row>
    <row r="46" spans="2:9" ht="14.25" customHeight="1" x14ac:dyDescent="0.25">
      <c r="B46" s="5">
        <v>41357</v>
      </c>
      <c r="C46" s="6" t="s">
        <v>17</v>
      </c>
      <c r="D46" s="7"/>
      <c r="E46" s="7">
        <v>147.16</v>
      </c>
      <c r="F46" s="8">
        <f t="shared" si="0"/>
        <v>11979.119999999995</v>
      </c>
    </row>
    <row r="47" spans="2:9" ht="14.25" customHeight="1" x14ac:dyDescent="0.25">
      <c r="B47" s="5">
        <v>41359</v>
      </c>
      <c r="C47" s="6" t="s">
        <v>20</v>
      </c>
      <c r="D47" s="7"/>
      <c r="E47" s="7">
        <v>131.5</v>
      </c>
      <c r="F47" s="8">
        <f t="shared" si="0"/>
        <v>11847.619999999995</v>
      </c>
    </row>
    <row r="48" spans="2:9" ht="14.25" customHeight="1" x14ac:dyDescent="0.25">
      <c r="B48" s="5">
        <v>41359</v>
      </c>
      <c r="C48" s="6" t="s">
        <v>11</v>
      </c>
      <c r="D48" s="7"/>
      <c r="E48" s="7">
        <v>203.12</v>
      </c>
      <c r="F48" s="8">
        <f t="shared" si="0"/>
        <v>11644.499999999995</v>
      </c>
    </row>
    <row r="49" spans="2:6" ht="14.25" customHeight="1" x14ac:dyDescent="0.25">
      <c r="B49" s="5">
        <v>41359</v>
      </c>
      <c r="C49" s="6" t="s">
        <v>11</v>
      </c>
      <c r="D49" s="7">
        <v>17.420000000000002</v>
      </c>
      <c r="E49" s="10"/>
      <c r="F49" s="8">
        <f t="shared" si="0"/>
        <v>11661.919999999995</v>
      </c>
    </row>
    <row r="50" spans="2:6" ht="14.25" customHeight="1" x14ac:dyDescent="0.25">
      <c r="B50" s="5">
        <v>41360</v>
      </c>
      <c r="C50" s="6" t="s">
        <v>21</v>
      </c>
      <c r="D50" s="7"/>
      <c r="E50" s="7">
        <v>48.9</v>
      </c>
      <c r="F50" s="8">
        <f t="shared" si="0"/>
        <v>11613.019999999995</v>
      </c>
    </row>
    <row r="51" spans="2:6" ht="14.25" customHeight="1" x14ac:dyDescent="0.25">
      <c r="B51" s="5">
        <v>41361</v>
      </c>
      <c r="C51" s="6" t="s">
        <v>20</v>
      </c>
      <c r="D51" s="7"/>
      <c r="E51" s="11">
        <v>104.5</v>
      </c>
      <c r="F51" s="8">
        <f t="shared" si="0"/>
        <v>11508.519999999995</v>
      </c>
    </row>
    <row r="52" spans="2:6" ht="14.25" customHeight="1" x14ac:dyDescent="0.25">
      <c r="B52" s="5">
        <v>41361</v>
      </c>
      <c r="C52" s="6" t="s">
        <v>11</v>
      </c>
      <c r="D52" s="7"/>
      <c r="E52" s="7">
        <v>614.5</v>
      </c>
      <c r="F52" s="8">
        <f t="shared" si="0"/>
        <v>10894.019999999995</v>
      </c>
    </row>
    <row r="53" spans="2:6" ht="14.25" customHeight="1" x14ac:dyDescent="0.25">
      <c r="B53" s="5">
        <v>41361</v>
      </c>
      <c r="C53" s="6" t="s">
        <v>11</v>
      </c>
      <c r="D53" s="7"/>
      <c r="E53" s="7">
        <v>540.02</v>
      </c>
      <c r="F53" s="8">
        <f t="shared" si="0"/>
        <v>10353.999999999995</v>
      </c>
    </row>
    <row r="54" spans="2:6" ht="14.25" customHeight="1" x14ac:dyDescent="0.25">
      <c r="B54" s="5">
        <v>41362</v>
      </c>
      <c r="C54" s="6" t="s">
        <v>20</v>
      </c>
      <c r="D54" s="7"/>
      <c r="E54" s="7">
        <v>80.5</v>
      </c>
      <c r="F54" s="8">
        <f t="shared" si="0"/>
        <v>10273.499999999995</v>
      </c>
    </row>
    <row r="55" spans="2:6" ht="14.25" customHeight="1" x14ac:dyDescent="0.25">
      <c r="B55" s="5">
        <v>41362</v>
      </c>
      <c r="C55" s="6" t="s">
        <v>22</v>
      </c>
      <c r="D55" s="7"/>
      <c r="E55" s="7">
        <v>30</v>
      </c>
      <c r="F55" s="8">
        <f t="shared" si="0"/>
        <v>10243.499999999995</v>
      </c>
    </row>
    <row r="56" spans="2:6" ht="14.25" customHeight="1" x14ac:dyDescent="0.25">
      <c r="B56" s="5">
        <v>41362</v>
      </c>
      <c r="C56" s="6" t="s">
        <v>11</v>
      </c>
      <c r="D56" s="7"/>
      <c r="E56" s="7">
        <v>811.47</v>
      </c>
      <c r="F56" s="8">
        <f t="shared" si="0"/>
        <v>9432.0299999999952</v>
      </c>
    </row>
    <row r="57" spans="2:6" ht="14.25" customHeight="1" x14ac:dyDescent="0.25">
      <c r="B57" s="5">
        <v>41362</v>
      </c>
      <c r="C57" s="6" t="s">
        <v>10</v>
      </c>
      <c r="D57" s="7">
        <v>360</v>
      </c>
      <c r="E57" s="7"/>
      <c r="F57" s="8">
        <f t="shared" si="0"/>
        <v>9792.0299999999952</v>
      </c>
    </row>
    <row r="58" spans="2:6" ht="14.25" customHeight="1" x14ac:dyDescent="0.25">
      <c r="B58" s="5">
        <v>41363</v>
      </c>
      <c r="C58" s="6" t="s">
        <v>10</v>
      </c>
      <c r="D58" s="7">
        <v>270</v>
      </c>
      <c r="E58" s="7"/>
      <c r="F58" s="8">
        <f t="shared" si="0"/>
        <v>10062.029999999995</v>
      </c>
    </row>
    <row r="59" spans="2:6" ht="14.25" customHeight="1" x14ac:dyDescent="0.25">
      <c r="B59" s="5">
        <v>41364</v>
      </c>
      <c r="C59" s="6" t="s">
        <v>10</v>
      </c>
      <c r="D59" s="7">
        <v>1635</v>
      </c>
      <c r="E59" s="7"/>
      <c r="F59" s="8">
        <f t="shared" si="0"/>
        <v>11697.029999999995</v>
      </c>
    </row>
    <row r="60" spans="2:6" ht="14.25" customHeight="1" x14ac:dyDescent="0.25">
      <c r="B60" s="5">
        <v>41364</v>
      </c>
      <c r="C60" s="6" t="s">
        <v>11</v>
      </c>
      <c r="D60" s="7"/>
      <c r="E60" s="7">
        <v>498</v>
      </c>
      <c r="F60" s="8">
        <f t="shared" si="0"/>
        <v>11199.029999999995</v>
      </c>
    </row>
    <row r="61" spans="2:6" ht="14.25" customHeight="1" x14ac:dyDescent="0.25">
      <c r="B61" s="5">
        <v>41364</v>
      </c>
      <c r="C61" s="6" t="s">
        <v>23</v>
      </c>
      <c r="D61" s="7"/>
      <c r="E61" s="7">
        <v>1500</v>
      </c>
      <c r="F61" s="8">
        <f t="shared" si="0"/>
        <v>9699.0299999999952</v>
      </c>
    </row>
    <row r="62" spans="2:6" ht="14.25" customHeight="1" x14ac:dyDescent="0.25">
      <c r="B62" s="5">
        <v>41364</v>
      </c>
      <c r="C62" s="6" t="s">
        <v>24</v>
      </c>
      <c r="D62" s="7"/>
      <c r="E62" s="7">
        <v>3.5</v>
      </c>
      <c r="F62" s="8">
        <f t="shared" si="0"/>
        <v>9695.5299999999952</v>
      </c>
    </row>
    <row r="63" spans="2:6" ht="14.25" customHeight="1" x14ac:dyDescent="0.25">
      <c r="B63" s="5">
        <v>41365</v>
      </c>
      <c r="C63" s="6" t="s">
        <v>10</v>
      </c>
      <c r="D63" s="7">
        <v>1865</v>
      </c>
      <c r="E63" s="7"/>
      <c r="F63" s="8">
        <f t="shared" si="0"/>
        <v>11560.529999999995</v>
      </c>
    </row>
    <row r="64" spans="2:6" ht="14.25" customHeight="1" x14ac:dyDescent="0.25">
      <c r="B64" s="5">
        <v>41365</v>
      </c>
      <c r="C64" s="6" t="s">
        <v>10</v>
      </c>
      <c r="D64" s="7">
        <v>1315</v>
      </c>
      <c r="E64" s="7"/>
      <c r="F64" s="8">
        <f t="shared" si="0"/>
        <v>12875.529999999995</v>
      </c>
    </row>
    <row r="65" spans="2:6" ht="14.25" customHeight="1" x14ac:dyDescent="0.25">
      <c r="B65" s="5">
        <v>41365</v>
      </c>
      <c r="C65" s="6" t="s">
        <v>11</v>
      </c>
      <c r="D65" s="7"/>
      <c r="E65" s="7">
        <v>705</v>
      </c>
      <c r="F65" s="8">
        <f t="shared" si="0"/>
        <v>12170.529999999995</v>
      </c>
    </row>
    <row r="66" spans="2:6" ht="14.25" customHeight="1" x14ac:dyDescent="0.25">
      <c r="B66" s="5">
        <v>41365</v>
      </c>
      <c r="C66" s="6" t="s">
        <v>18</v>
      </c>
      <c r="D66" s="7"/>
      <c r="E66" s="7">
        <v>47.87</v>
      </c>
      <c r="F66" s="8">
        <f t="shared" si="0"/>
        <v>12122.659999999994</v>
      </c>
    </row>
    <row r="67" spans="2:6" ht="14.25" customHeight="1" x14ac:dyDescent="0.25">
      <c r="B67" s="5">
        <v>41365</v>
      </c>
      <c r="C67" s="6" t="s">
        <v>12</v>
      </c>
      <c r="D67" s="7"/>
      <c r="E67" s="7">
        <v>449.17</v>
      </c>
      <c r="F67" s="8">
        <f t="shared" si="0"/>
        <v>11673.489999999994</v>
      </c>
    </row>
    <row r="68" spans="2:6" ht="14.25" customHeight="1" x14ac:dyDescent="0.25">
      <c r="B68" s="5">
        <v>41365</v>
      </c>
      <c r="C68" s="6" t="s">
        <v>12</v>
      </c>
      <c r="D68" s="7"/>
      <c r="E68" s="7">
        <v>282.2</v>
      </c>
      <c r="F68" s="8">
        <f t="shared" si="0"/>
        <v>11391.289999999994</v>
      </c>
    </row>
    <row r="69" spans="2:6" ht="14.25" customHeight="1" x14ac:dyDescent="0.25">
      <c r="B69" s="5">
        <v>41365</v>
      </c>
      <c r="C69" s="6" t="s">
        <v>11</v>
      </c>
      <c r="D69" s="7"/>
      <c r="E69" s="7">
        <v>535</v>
      </c>
      <c r="F69" s="8">
        <f t="shared" si="0"/>
        <v>10856.289999999994</v>
      </c>
    </row>
    <row r="70" spans="2:6" ht="14.25" customHeight="1" x14ac:dyDescent="0.25">
      <c r="B70" s="5">
        <v>41365</v>
      </c>
      <c r="C70" s="6" t="s">
        <v>12</v>
      </c>
      <c r="D70" s="7"/>
      <c r="E70" s="7">
        <v>389.38</v>
      </c>
      <c r="F70" s="8">
        <f t="shared" si="0"/>
        <v>10466.909999999994</v>
      </c>
    </row>
    <row r="71" spans="2:6" ht="14.25" customHeight="1" x14ac:dyDescent="0.25">
      <c r="B71" s="5">
        <v>41365</v>
      </c>
      <c r="C71" s="6" t="s">
        <v>12</v>
      </c>
      <c r="D71" s="7"/>
      <c r="E71" s="7">
        <v>560.1</v>
      </c>
      <c r="F71" s="8">
        <f t="shared" si="0"/>
        <v>9906.809999999994</v>
      </c>
    </row>
    <row r="72" spans="2:6" ht="14.25" customHeight="1" x14ac:dyDescent="0.25">
      <c r="B72" s="5">
        <v>41365</v>
      </c>
      <c r="C72" s="6" t="s">
        <v>11</v>
      </c>
      <c r="D72" s="7"/>
      <c r="E72" s="7">
        <v>723.9</v>
      </c>
      <c r="F72" s="8">
        <f t="shared" si="0"/>
        <v>9182.9099999999944</v>
      </c>
    </row>
    <row r="73" spans="2:6" ht="14.25" customHeight="1" x14ac:dyDescent="0.25">
      <c r="B73" s="5">
        <v>41365</v>
      </c>
      <c r="C73" s="6" t="s">
        <v>12</v>
      </c>
      <c r="D73" s="7"/>
      <c r="E73" s="7">
        <v>969.98</v>
      </c>
      <c r="F73" s="8">
        <f t="shared" si="0"/>
        <v>8212.9299999999948</v>
      </c>
    </row>
    <row r="74" spans="2:6" ht="14.25" customHeight="1" x14ac:dyDescent="0.25">
      <c r="B74" s="5">
        <v>41366</v>
      </c>
      <c r="C74" s="6" t="s">
        <v>12</v>
      </c>
      <c r="D74" s="7"/>
      <c r="E74" s="7">
        <v>681.12</v>
      </c>
      <c r="F74" s="8">
        <f t="shared" si="0"/>
        <v>7531.8099999999949</v>
      </c>
    </row>
    <row r="75" spans="2:6" ht="14.25" customHeight="1" x14ac:dyDescent="0.25">
      <c r="B75" s="5">
        <v>41366</v>
      </c>
      <c r="C75" s="6" t="s">
        <v>12</v>
      </c>
      <c r="D75" s="7"/>
      <c r="E75" s="7">
        <v>320.66000000000003</v>
      </c>
      <c r="F75" s="8">
        <f t="shared" si="0"/>
        <v>7211.1499999999951</v>
      </c>
    </row>
    <row r="76" spans="2:6" ht="14.25" customHeight="1" x14ac:dyDescent="0.25">
      <c r="B76" s="5">
        <v>41366</v>
      </c>
      <c r="C76" s="6" t="s">
        <v>11</v>
      </c>
      <c r="D76" s="7"/>
      <c r="E76" s="7">
        <v>512</v>
      </c>
      <c r="F76" s="8">
        <f t="shared" si="0"/>
        <v>6699.1499999999951</v>
      </c>
    </row>
    <row r="77" spans="2:6" ht="14.25" customHeight="1" x14ac:dyDescent="0.25">
      <c r="B77" s="5">
        <v>41366</v>
      </c>
      <c r="C77" s="6" t="s">
        <v>9</v>
      </c>
      <c r="D77" s="7"/>
      <c r="E77" s="7">
        <v>519.33000000000004</v>
      </c>
      <c r="F77" s="8">
        <f t="shared" si="0"/>
        <v>6179.8199999999952</v>
      </c>
    </row>
    <row r="78" spans="2:6" ht="14.25" customHeight="1" x14ac:dyDescent="0.25">
      <c r="B78" s="5">
        <v>41366</v>
      </c>
      <c r="C78" s="6" t="s">
        <v>25</v>
      </c>
      <c r="D78" s="7"/>
      <c r="E78" s="7">
        <v>449.16</v>
      </c>
      <c r="F78" s="8">
        <f t="shared" si="0"/>
        <v>5730.6599999999953</v>
      </c>
    </row>
    <row r="79" spans="2:6" ht="14.25" customHeight="1" x14ac:dyDescent="0.25">
      <c r="B79" s="5">
        <v>41366</v>
      </c>
      <c r="C79" s="6" t="s">
        <v>11</v>
      </c>
      <c r="D79" s="7"/>
      <c r="E79" s="7">
        <v>728.5</v>
      </c>
      <c r="F79" s="8">
        <f t="shared" si="0"/>
        <v>5002.1599999999953</v>
      </c>
    </row>
    <row r="80" spans="2:6" ht="14.25" customHeight="1" x14ac:dyDescent="0.25">
      <c r="B80" s="5">
        <v>41367</v>
      </c>
      <c r="C80" s="6" t="s">
        <v>26</v>
      </c>
      <c r="D80" s="7"/>
      <c r="E80" s="7">
        <v>48.5</v>
      </c>
      <c r="F80" s="8">
        <f t="shared" si="0"/>
        <v>4953.6599999999953</v>
      </c>
    </row>
    <row r="81" spans="2:6" ht="14.25" customHeight="1" x14ac:dyDescent="0.25">
      <c r="B81" s="5">
        <v>41367</v>
      </c>
      <c r="C81" s="6" t="s">
        <v>12</v>
      </c>
      <c r="D81" s="7"/>
      <c r="E81" s="7">
        <v>131.86000000000001</v>
      </c>
      <c r="F81" s="8">
        <f t="shared" si="0"/>
        <v>4821.7999999999956</v>
      </c>
    </row>
    <row r="82" spans="2:6" ht="14.25" customHeight="1" x14ac:dyDescent="0.25">
      <c r="B82" s="5">
        <v>41367</v>
      </c>
      <c r="C82" s="6" t="s">
        <v>12</v>
      </c>
      <c r="D82" s="7"/>
      <c r="E82" s="7">
        <v>501.9</v>
      </c>
      <c r="F82" s="8">
        <f t="shared" si="0"/>
        <v>4319.899999999996</v>
      </c>
    </row>
    <row r="83" spans="2:6" ht="14.25" customHeight="1" x14ac:dyDescent="0.25">
      <c r="B83" s="5">
        <v>41367</v>
      </c>
      <c r="C83" s="6" t="s">
        <v>16</v>
      </c>
      <c r="D83" s="7"/>
      <c r="E83" s="7">
        <v>133.91</v>
      </c>
      <c r="F83" s="8">
        <f t="shared" si="0"/>
        <v>4185.9899999999961</v>
      </c>
    </row>
    <row r="84" spans="2:6" ht="14.25" customHeight="1" x14ac:dyDescent="0.25">
      <c r="B84" s="5">
        <v>41367</v>
      </c>
      <c r="C84" s="6" t="s">
        <v>11</v>
      </c>
      <c r="D84" s="7"/>
      <c r="E84" s="7">
        <v>701.19</v>
      </c>
      <c r="F84" s="8">
        <f t="shared" si="0"/>
        <v>3484.7999999999961</v>
      </c>
    </row>
    <row r="85" spans="2:6" ht="14.25" customHeight="1" x14ac:dyDescent="0.25">
      <c r="B85" s="5">
        <v>41368</v>
      </c>
      <c r="C85" s="6" t="s">
        <v>17</v>
      </c>
      <c r="D85" s="7"/>
      <c r="E85" s="7">
        <v>145.9</v>
      </c>
      <c r="F85" s="8">
        <f t="shared" si="0"/>
        <v>3338.899999999996</v>
      </c>
    </row>
    <row r="86" spans="2:6" ht="14.25" customHeight="1" x14ac:dyDescent="0.25">
      <c r="B86" s="5">
        <v>41368</v>
      </c>
      <c r="C86" s="6" t="s">
        <v>11</v>
      </c>
      <c r="D86" s="7"/>
      <c r="E86" s="7">
        <v>694</v>
      </c>
      <c r="F86" s="8">
        <f t="shared" si="0"/>
        <v>2644.899999999996</v>
      </c>
    </row>
    <row r="87" spans="2:6" ht="14.25" customHeight="1" x14ac:dyDescent="0.25">
      <c r="B87" s="5">
        <v>41374</v>
      </c>
      <c r="C87" s="6" t="s">
        <v>21</v>
      </c>
      <c r="D87" s="7"/>
      <c r="E87" s="7">
        <v>48.3</v>
      </c>
      <c r="F87" s="8">
        <f t="shared" si="0"/>
        <v>2596.5999999999958</v>
      </c>
    </row>
    <row r="88" spans="2:6" ht="14.25" customHeight="1" x14ac:dyDescent="0.25">
      <c r="B88" s="5">
        <v>41374</v>
      </c>
      <c r="C88" s="6" t="s">
        <v>10</v>
      </c>
      <c r="D88" s="7">
        <v>650</v>
      </c>
      <c r="E88" s="7"/>
      <c r="F88" s="8">
        <f t="shared" si="0"/>
        <v>3246.5999999999958</v>
      </c>
    </row>
    <row r="89" spans="2:6" ht="14.25" customHeight="1" x14ac:dyDescent="0.25">
      <c r="B89" s="5">
        <v>41374</v>
      </c>
      <c r="C89" s="6" t="s">
        <v>10</v>
      </c>
      <c r="D89" s="7">
        <v>250</v>
      </c>
      <c r="E89" s="7"/>
      <c r="F89" s="8">
        <f t="shared" si="0"/>
        <v>3496.5999999999958</v>
      </c>
    </row>
    <row r="90" spans="2:6" ht="14.25" customHeight="1" x14ac:dyDescent="0.25">
      <c r="B90" s="5">
        <v>41374</v>
      </c>
      <c r="C90" s="6" t="s">
        <v>15</v>
      </c>
      <c r="D90" s="7"/>
      <c r="E90" s="7">
        <v>187.9</v>
      </c>
      <c r="F90" s="8">
        <f t="shared" si="0"/>
        <v>3308.6999999999957</v>
      </c>
    </row>
    <row r="91" spans="2:6" ht="14.25" customHeight="1" x14ac:dyDescent="0.25">
      <c r="B91" s="5">
        <v>41375</v>
      </c>
      <c r="C91" s="6" t="s">
        <v>10</v>
      </c>
      <c r="D91" s="7">
        <v>1330</v>
      </c>
      <c r="E91" s="7"/>
      <c r="F91" s="8">
        <f t="shared" si="0"/>
        <v>4638.6999999999953</v>
      </c>
    </row>
    <row r="92" spans="2:6" ht="14.25" customHeight="1" x14ac:dyDescent="0.25">
      <c r="B92" s="5">
        <v>41375</v>
      </c>
      <c r="C92" s="6" t="s">
        <v>11</v>
      </c>
      <c r="D92" s="7"/>
      <c r="E92" s="7">
        <v>631</v>
      </c>
      <c r="F92" s="8">
        <f t="shared" si="0"/>
        <v>4007.6999999999953</v>
      </c>
    </row>
    <row r="93" spans="2:6" ht="14.25" customHeight="1" x14ac:dyDescent="0.25">
      <c r="B93" s="5">
        <v>41375</v>
      </c>
      <c r="C93" s="6" t="s">
        <v>11</v>
      </c>
      <c r="D93" s="7">
        <v>27.71</v>
      </c>
      <c r="F93" s="8">
        <f t="shared" si="0"/>
        <v>4035.4099999999953</v>
      </c>
    </row>
    <row r="94" spans="2:6" ht="14.25" customHeight="1" x14ac:dyDescent="0.25">
      <c r="B94" s="5">
        <v>41376</v>
      </c>
      <c r="C94" s="6" t="s">
        <v>10</v>
      </c>
      <c r="D94" s="7">
        <v>770</v>
      </c>
      <c r="E94" s="7"/>
      <c r="F94" s="8">
        <f t="shared" si="0"/>
        <v>4805.4099999999953</v>
      </c>
    </row>
    <row r="95" spans="2:6" ht="14.25" customHeight="1" x14ac:dyDescent="0.25">
      <c r="B95" s="5">
        <v>41377</v>
      </c>
      <c r="C95" s="6" t="s">
        <v>10</v>
      </c>
      <c r="D95" s="7">
        <v>2145</v>
      </c>
      <c r="E95" s="7"/>
      <c r="F95" s="8">
        <f t="shared" si="0"/>
        <v>6950.4099999999953</v>
      </c>
    </row>
    <row r="96" spans="2:6" ht="14.25" customHeight="1" x14ac:dyDescent="0.25">
      <c r="B96" s="5">
        <v>41377</v>
      </c>
      <c r="C96" s="6" t="s">
        <v>11</v>
      </c>
      <c r="D96" s="7"/>
      <c r="E96" s="7">
        <v>617</v>
      </c>
      <c r="F96" s="8">
        <f t="shared" si="0"/>
        <v>6333.4099999999953</v>
      </c>
    </row>
    <row r="97" spans="2:6" ht="14.25" customHeight="1" x14ac:dyDescent="0.25">
      <c r="B97" s="5">
        <v>41377</v>
      </c>
      <c r="C97" s="6" t="s">
        <v>11</v>
      </c>
      <c r="D97" s="7"/>
      <c r="E97" s="7">
        <v>474</v>
      </c>
      <c r="F97" s="8">
        <f t="shared" si="0"/>
        <v>5859.4099999999953</v>
      </c>
    </row>
    <row r="98" spans="2:6" ht="14.25" customHeight="1" x14ac:dyDescent="0.25">
      <c r="B98" s="5">
        <v>41378</v>
      </c>
      <c r="C98" s="6" t="s">
        <v>10</v>
      </c>
      <c r="D98" s="7">
        <v>815</v>
      </c>
      <c r="E98" s="7"/>
      <c r="F98" s="8">
        <f t="shared" si="0"/>
        <v>6674.4099999999953</v>
      </c>
    </row>
    <row r="99" spans="2:6" ht="14.25" customHeight="1" x14ac:dyDescent="0.25">
      <c r="B99" s="5">
        <v>41379</v>
      </c>
      <c r="C99" s="6" t="s">
        <v>10</v>
      </c>
      <c r="D99" s="7">
        <v>1050</v>
      </c>
      <c r="E99" s="7"/>
      <c r="F99" s="8">
        <f t="shared" si="0"/>
        <v>7724.4099999999953</v>
      </c>
    </row>
    <row r="100" spans="2:6" ht="14.25" customHeight="1" x14ac:dyDescent="0.25">
      <c r="B100" s="5">
        <v>41379</v>
      </c>
      <c r="C100" s="6" t="s">
        <v>11</v>
      </c>
      <c r="D100" s="7"/>
      <c r="E100" s="7">
        <v>519</v>
      </c>
      <c r="F100" s="8">
        <f t="shared" si="0"/>
        <v>7205.4099999999953</v>
      </c>
    </row>
    <row r="101" spans="2:6" ht="14.25" customHeight="1" x14ac:dyDescent="0.25">
      <c r="B101" s="5">
        <v>41380</v>
      </c>
      <c r="C101" s="6" t="s">
        <v>10</v>
      </c>
      <c r="D101" s="7">
        <v>365</v>
      </c>
      <c r="E101" s="7"/>
      <c r="F101" s="8">
        <f t="shared" si="0"/>
        <v>7570.4099999999953</v>
      </c>
    </row>
    <row r="102" spans="2:6" ht="14.25" customHeight="1" x14ac:dyDescent="0.25">
      <c r="B102" s="5">
        <v>41381</v>
      </c>
      <c r="C102" s="6" t="s">
        <v>10</v>
      </c>
      <c r="D102" s="7">
        <v>1170</v>
      </c>
      <c r="E102" s="7"/>
      <c r="F102" s="8">
        <f t="shared" si="0"/>
        <v>8740.4099999999962</v>
      </c>
    </row>
    <row r="103" spans="2:6" ht="14.25" customHeight="1" x14ac:dyDescent="0.25">
      <c r="B103" s="5">
        <v>41381</v>
      </c>
      <c r="C103" s="6" t="s">
        <v>11</v>
      </c>
      <c r="D103" s="7">
        <v>31.44</v>
      </c>
      <c r="F103" s="8">
        <f t="shared" si="0"/>
        <v>8771.8499999999967</v>
      </c>
    </row>
    <row r="104" spans="2:6" ht="14.25" customHeight="1" x14ac:dyDescent="0.25">
      <c r="B104" s="5">
        <v>41382</v>
      </c>
      <c r="C104" s="6" t="s">
        <v>10</v>
      </c>
      <c r="D104" s="7">
        <v>1400</v>
      </c>
      <c r="E104" s="7"/>
      <c r="F104" s="8">
        <f t="shared" si="0"/>
        <v>10171.849999999997</v>
      </c>
    </row>
    <row r="105" spans="2:6" ht="14.25" customHeight="1" x14ac:dyDescent="0.25">
      <c r="B105" s="5">
        <v>41382</v>
      </c>
      <c r="C105" s="6" t="s">
        <v>21</v>
      </c>
      <c r="D105" s="7"/>
      <c r="E105" s="7">
        <v>67.709999999999994</v>
      </c>
      <c r="F105" s="8">
        <f t="shared" si="0"/>
        <v>10104.139999999998</v>
      </c>
    </row>
    <row r="106" spans="2:6" ht="14.25" customHeight="1" x14ac:dyDescent="0.25">
      <c r="B106" s="5">
        <v>41383</v>
      </c>
      <c r="C106" s="6" t="s">
        <v>10</v>
      </c>
      <c r="D106" s="7">
        <v>1000</v>
      </c>
      <c r="E106" s="7"/>
      <c r="F106" s="8">
        <f t="shared" si="0"/>
        <v>11104.139999999998</v>
      </c>
    </row>
    <row r="107" spans="2:6" ht="14.25" customHeight="1" x14ac:dyDescent="0.25">
      <c r="B107" s="5">
        <v>41384</v>
      </c>
      <c r="C107" s="6" t="s">
        <v>10</v>
      </c>
      <c r="D107" s="7">
        <v>985</v>
      </c>
      <c r="E107" s="7"/>
      <c r="F107" s="8">
        <f t="shared" si="0"/>
        <v>12089.139999999998</v>
      </c>
    </row>
    <row r="108" spans="2:6" ht="14.25" customHeight="1" x14ac:dyDescent="0.25">
      <c r="B108" s="5">
        <v>41385</v>
      </c>
      <c r="C108" s="6" t="s">
        <v>10</v>
      </c>
      <c r="D108" s="7">
        <v>1135</v>
      </c>
      <c r="E108" s="7"/>
      <c r="F108" s="8">
        <f t="shared" si="0"/>
        <v>13224.139999999998</v>
      </c>
    </row>
    <row r="109" spans="2:6" ht="14.25" customHeight="1" x14ac:dyDescent="0.25">
      <c r="B109" s="5">
        <v>41386</v>
      </c>
      <c r="C109" s="6" t="s">
        <v>10</v>
      </c>
      <c r="D109" s="7">
        <v>1627</v>
      </c>
      <c r="E109" s="7"/>
      <c r="F109" s="8">
        <f t="shared" si="0"/>
        <v>14851.139999999998</v>
      </c>
    </row>
    <row r="110" spans="2:6" ht="14.25" customHeight="1" x14ac:dyDescent="0.25">
      <c r="B110" s="5">
        <v>41386</v>
      </c>
      <c r="C110" s="6" t="s">
        <v>14</v>
      </c>
      <c r="D110" s="7"/>
      <c r="E110" s="7">
        <v>100</v>
      </c>
      <c r="F110" s="8">
        <f t="shared" si="0"/>
        <v>14751.139999999998</v>
      </c>
    </row>
    <row r="111" spans="2:6" ht="14.25" customHeight="1" x14ac:dyDescent="0.25">
      <c r="B111" s="5">
        <v>41387</v>
      </c>
      <c r="C111" s="6" t="s">
        <v>10</v>
      </c>
      <c r="D111" s="7">
        <v>2035</v>
      </c>
      <c r="E111" s="7"/>
      <c r="F111" s="8">
        <f t="shared" si="0"/>
        <v>16786.14</v>
      </c>
    </row>
    <row r="112" spans="2:6" ht="14.25" customHeight="1" x14ac:dyDescent="0.25">
      <c r="B112" s="5">
        <v>41388</v>
      </c>
      <c r="C112" s="6" t="s">
        <v>10</v>
      </c>
      <c r="D112" s="7">
        <v>50</v>
      </c>
      <c r="E112" s="7"/>
      <c r="F112" s="8">
        <f t="shared" si="0"/>
        <v>16836.14</v>
      </c>
    </row>
    <row r="113" spans="2:9" ht="14.25" customHeight="1" x14ac:dyDescent="0.25">
      <c r="B113" s="5">
        <v>41388</v>
      </c>
      <c r="C113" s="6" t="s">
        <v>11</v>
      </c>
      <c r="D113" s="7"/>
      <c r="E113" s="7">
        <v>634.42999999999995</v>
      </c>
      <c r="F113" s="8">
        <f t="shared" si="0"/>
        <v>16201.71</v>
      </c>
    </row>
    <row r="114" spans="2:9" ht="14.25" customHeight="1" x14ac:dyDescent="0.25">
      <c r="B114" s="5">
        <v>41388</v>
      </c>
      <c r="C114" s="6" t="s">
        <v>11</v>
      </c>
      <c r="D114" s="7"/>
      <c r="E114" s="7">
        <v>512</v>
      </c>
      <c r="F114" s="8">
        <f t="shared" si="0"/>
        <v>15689.71</v>
      </c>
    </row>
    <row r="115" spans="2:9" ht="14.25" customHeight="1" x14ac:dyDescent="0.25">
      <c r="B115" s="5">
        <v>41388</v>
      </c>
      <c r="C115" s="6" t="s">
        <v>10</v>
      </c>
      <c r="D115" s="7">
        <v>370</v>
      </c>
      <c r="E115" s="7"/>
      <c r="F115" s="8">
        <f t="shared" si="0"/>
        <v>16059.71</v>
      </c>
    </row>
    <row r="116" spans="2:9" ht="14.25" customHeight="1" x14ac:dyDescent="0.25">
      <c r="B116" s="5">
        <v>41388</v>
      </c>
      <c r="C116" s="6" t="s">
        <v>11</v>
      </c>
      <c r="D116" s="7">
        <v>30.74</v>
      </c>
      <c r="F116" s="8">
        <f t="shared" si="0"/>
        <v>16090.449999999999</v>
      </c>
    </row>
    <row r="117" spans="2:9" ht="14.25" customHeight="1" x14ac:dyDescent="0.25">
      <c r="B117" s="5">
        <v>41388</v>
      </c>
      <c r="C117" s="6" t="s">
        <v>11</v>
      </c>
      <c r="D117" s="7"/>
      <c r="E117" s="7">
        <v>457</v>
      </c>
      <c r="F117" s="8">
        <f t="shared" si="0"/>
        <v>15633.449999999999</v>
      </c>
      <c r="I117" s="3"/>
    </row>
    <row r="118" spans="2:9" ht="14.25" customHeight="1" x14ac:dyDescent="0.25">
      <c r="B118" s="5">
        <v>41389</v>
      </c>
      <c r="C118" s="6" t="s">
        <v>10</v>
      </c>
      <c r="D118" s="7">
        <v>1200</v>
      </c>
      <c r="E118" s="7"/>
      <c r="F118" s="8">
        <f t="shared" si="0"/>
        <v>16833.449999999997</v>
      </c>
    </row>
    <row r="119" spans="2:9" ht="14.25" customHeight="1" x14ac:dyDescent="0.25">
      <c r="B119" s="5">
        <v>41389</v>
      </c>
      <c r="C119" s="6" t="s">
        <v>11</v>
      </c>
      <c r="D119" s="7"/>
      <c r="E119" s="7">
        <v>370</v>
      </c>
      <c r="F119" s="8">
        <f t="shared" si="0"/>
        <v>16463.449999999997</v>
      </c>
    </row>
    <row r="120" spans="2:9" ht="14.25" customHeight="1" x14ac:dyDescent="0.25">
      <c r="B120" s="5">
        <v>41390</v>
      </c>
      <c r="C120" s="6" t="s">
        <v>10</v>
      </c>
      <c r="D120" s="7">
        <v>690</v>
      </c>
      <c r="E120" s="7"/>
      <c r="F120" s="8">
        <f t="shared" si="0"/>
        <v>17153.449999999997</v>
      </c>
    </row>
    <row r="121" spans="2:9" ht="14.25" customHeight="1" x14ac:dyDescent="0.25">
      <c r="B121" s="5">
        <v>41391</v>
      </c>
      <c r="C121" s="6" t="s">
        <v>10</v>
      </c>
      <c r="D121" s="7">
        <v>435</v>
      </c>
      <c r="E121" s="7"/>
      <c r="F121" s="8">
        <f t="shared" si="0"/>
        <v>17588.449999999997</v>
      </c>
    </row>
    <row r="122" spans="2:9" ht="14.25" customHeight="1" x14ac:dyDescent="0.25">
      <c r="B122" s="5">
        <v>41392</v>
      </c>
      <c r="C122" s="6" t="s">
        <v>10</v>
      </c>
      <c r="D122" s="7">
        <v>190</v>
      </c>
      <c r="E122" s="7"/>
      <c r="F122" s="8">
        <f t="shared" si="0"/>
        <v>17778.449999999997</v>
      </c>
    </row>
    <row r="123" spans="2:9" ht="14.25" customHeight="1" x14ac:dyDescent="0.25">
      <c r="B123" s="5">
        <v>41393</v>
      </c>
      <c r="C123" s="6" t="s">
        <v>10</v>
      </c>
      <c r="D123" s="7">
        <v>260</v>
      </c>
      <c r="E123" s="7"/>
      <c r="F123" s="8">
        <f t="shared" si="0"/>
        <v>18038.449999999997</v>
      </c>
    </row>
    <row r="124" spans="2:9" ht="14.25" customHeight="1" x14ac:dyDescent="0.25">
      <c r="B124" s="5">
        <v>41394</v>
      </c>
      <c r="C124" s="6" t="s">
        <v>10</v>
      </c>
      <c r="D124" s="7">
        <v>655</v>
      </c>
      <c r="E124" s="7"/>
      <c r="F124" s="8">
        <f t="shared" si="0"/>
        <v>18693.449999999997</v>
      </c>
    </row>
    <row r="125" spans="2:9" ht="14.25" customHeight="1" x14ac:dyDescent="0.25">
      <c r="B125" s="5">
        <v>41394</v>
      </c>
      <c r="C125" s="6" t="s">
        <v>11</v>
      </c>
      <c r="D125" s="7"/>
      <c r="E125" s="7">
        <v>408.1</v>
      </c>
      <c r="F125" s="8">
        <f t="shared" si="0"/>
        <v>18285.349999999999</v>
      </c>
    </row>
    <row r="126" spans="2:9" ht="14.25" customHeight="1" x14ac:dyDescent="0.25">
      <c r="B126" s="5">
        <v>41394</v>
      </c>
      <c r="C126" s="6" t="s">
        <v>23</v>
      </c>
      <c r="D126" s="7"/>
      <c r="E126" s="7">
        <v>1500</v>
      </c>
      <c r="F126" s="8">
        <f t="shared" si="0"/>
        <v>16785.349999999999</v>
      </c>
    </row>
    <row r="127" spans="2:9" ht="14.25" customHeight="1" x14ac:dyDescent="0.25">
      <c r="B127" s="5">
        <v>41394</v>
      </c>
      <c r="C127" s="6" t="s">
        <v>24</v>
      </c>
      <c r="D127" s="7"/>
      <c r="E127" s="7">
        <v>3.5</v>
      </c>
      <c r="F127" s="8">
        <f t="shared" si="0"/>
        <v>16781.849999999999</v>
      </c>
    </row>
    <row r="128" spans="2:9" ht="14.25" customHeight="1" x14ac:dyDescent="0.25">
      <c r="B128" s="5">
        <v>41394</v>
      </c>
      <c r="C128" s="6" t="s">
        <v>11</v>
      </c>
      <c r="D128" s="7">
        <v>31.55</v>
      </c>
      <c r="F128" s="8">
        <f t="shared" si="0"/>
        <v>16813.399999999998</v>
      </c>
    </row>
    <row r="129" spans="2:6" ht="14.25" customHeight="1" x14ac:dyDescent="0.25">
      <c r="B129" s="5">
        <v>41395</v>
      </c>
      <c r="C129" s="6" t="s">
        <v>10</v>
      </c>
      <c r="D129" s="7">
        <v>448</v>
      </c>
      <c r="E129" s="7"/>
      <c r="F129" s="8">
        <f t="shared" si="0"/>
        <v>17261.399999999998</v>
      </c>
    </row>
    <row r="130" spans="2:6" ht="14.25" customHeight="1" x14ac:dyDescent="0.25">
      <c r="B130" s="5">
        <v>41395</v>
      </c>
      <c r="C130" s="6" t="s">
        <v>9</v>
      </c>
      <c r="D130" s="7"/>
      <c r="E130" s="7">
        <v>519.33000000000004</v>
      </c>
      <c r="F130" s="8">
        <f t="shared" si="0"/>
        <v>16742.069999999996</v>
      </c>
    </row>
    <row r="131" spans="2:6" ht="14.25" customHeight="1" x14ac:dyDescent="0.25">
      <c r="B131" s="5">
        <v>41396</v>
      </c>
      <c r="C131" s="6" t="s">
        <v>10</v>
      </c>
      <c r="D131" s="7">
        <v>1065</v>
      </c>
      <c r="E131" s="7"/>
      <c r="F131" s="8">
        <f t="shared" si="0"/>
        <v>17807.069999999996</v>
      </c>
    </row>
    <row r="132" spans="2:6" ht="14.25" customHeight="1" x14ac:dyDescent="0.25">
      <c r="B132" s="5">
        <v>41397</v>
      </c>
      <c r="C132" s="6" t="s">
        <v>10</v>
      </c>
      <c r="D132" s="7">
        <v>860</v>
      </c>
      <c r="E132" s="7"/>
      <c r="F132" s="8">
        <f t="shared" si="0"/>
        <v>18667.069999999996</v>
      </c>
    </row>
    <row r="133" spans="2:6" ht="14.25" customHeight="1" x14ac:dyDescent="0.25">
      <c r="B133" s="5">
        <v>41398</v>
      </c>
      <c r="C133" s="6" t="s">
        <v>10</v>
      </c>
      <c r="D133" s="7">
        <v>3944.2</v>
      </c>
      <c r="E133" s="7"/>
      <c r="F133" s="8">
        <f t="shared" si="0"/>
        <v>22611.269999999997</v>
      </c>
    </row>
    <row r="134" spans="2:6" ht="14.25" customHeight="1" x14ac:dyDescent="0.25">
      <c r="B134" s="5">
        <v>41399</v>
      </c>
      <c r="C134" s="6" t="s">
        <v>22</v>
      </c>
      <c r="D134" s="7"/>
      <c r="E134" s="7">
        <v>40.4</v>
      </c>
      <c r="F134" s="8">
        <f t="shared" si="0"/>
        <v>22570.869999999995</v>
      </c>
    </row>
    <row r="135" spans="2:6" ht="14.25" customHeight="1" x14ac:dyDescent="0.25">
      <c r="B135" s="5">
        <v>41399</v>
      </c>
      <c r="C135" s="6" t="s">
        <v>16</v>
      </c>
      <c r="D135" s="7"/>
      <c r="E135" s="7">
        <v>136.38</v>
      </c>
      <c r="F135" s="8">
        <f t="shared" si="0"/>
        <v>22434.489999999994</v>
      </c>
    </row>
    <row r="136" spans="2:6" ht="14.25" customHeight="1" x14ac:dyDescent="0.25">
      <c r="B136" s="5">
        <v>41399</v>
      </c>
      <c r="C136" s="6" t="s">
        <v>17</v>
      </c>
      <c r="D136" s="7"/>
      <c r="E136" s="7">
        <v>155.52000000000001</v>
      </c>
      <c r="F136" s="8">
        <f t="shared" si="0"/>
        <v>22278.969999999994</v>
      </c>
    </row>
    <row r="137" spans="2:6" ht="14.25" customHeight="1" x14ac:dyDescent="0.25">
      <c r="B137" s="5">
        <v>41399</v>
      </c>
      <c r="C137" s="6" t="s">
        <v>10</v>
      </c>
      <c r="D137" s="7">
        <v>390</v>
      </c>
      <c r="E137" s="7"/>
      <c r="F137" s="8">
        <f t="shared" si="0"/>
        <v>22668.969999999994</v>
      </c>
    </row>
    <row r="138" spans="2:6" ht="14.25" customHeight="1" x14ac:dyDescent="0.25">
      <c r="B138" s="5">
        <v>41399</v>
      </c>
      <c r="C138" s="6" t="s">
        <v>11</v>
      </c>
      <c r="D138" s="7"/>
      <c r="E138" s="7">
        <v>330</v>
      </c>
      <c r="F138" s="8">
        <f t="shared" si="0"/>
        <v>22338.969999999994</v>
      </c>
    </row>
    <row r="139" spans="2:6" ht="14.25" customHeight="1" x14ac:dyDescent="0.25">
      <c r="B139" s="5">
        <v>41399</v>
      </c>
      <c r="C139" s="6" t="s">
        <v>11</v>
      </c>
      <c r="D139" s="7"/>
      <c r="E139" s="7">
        <v>303</v>
      </c>
      <c r="F139" s="8">
        <f t="shared" si="0"/>
        <v>22035.969999999994</v>
      </c>
    </row>
    <row r="140" spans="2:6" ht="14.25" customHeight="1" x14ac:dyDescent="0.25">
      <c r="B140" s="5">
        <v>41400</v>
      </c>
      <c r="C140" s="6" t="s">
        <v>10</v>
      </c>
      <c r="D140" s="7">
        <v>3110</v>
      </c>
      <c r="E140" s="7"/>
      <c r="F140" s="8">
        <f t="shared" si="0"/>
        <v>25145.969999999994</v>
      </c>
    </row>
    <row r="141" spans="2:6" ht="14.25" customHeight="1" x14ac:dyDescent="0.25">
      <c r="B141" s="5">
        <v>41401</v>
      </c>
      <c r="C141" s="6" t="s">
        <v>10</v>
      </c>
      <c r="D141" s="7">
        <v>2655</v>
      </c>
      <c r="E141" s="7"/>
      <c r="F141" s="8">
        <f t="shared" si="0"/>
        <v>27800.969999999994</v>
      </c>
    </row>
    <row r="142" spans="2:6" ht="14.25" customHeight="1" x14ac:dyDescent="0.25">
      <c r="B142" s="5">
        <v>41401</v>
      </c>
      <c r="C142" s="6" t="s">
        <v>25</v>
      </c>
      <c r="D142" s="7"/>
      <c r="E142" s="7">
        <v>695.04</v>
      </c>
      <c r="F142" s="8">
        <f t="shared" si="0"/>
        <v>27105.929999999993</v>
      </c>
    </row>
    <row r="143" spans="2:6" ht="14.25" customHeight="1" x14ac:dyDescent="0.25">
      <c r="B143" s="5">
        <v>41402</v>
      </c>
      <c r="C143" s="6" t="s">
        <v>10</v>
      </c>
      <c r="D143" s="7">
        <v>568.29999999999995</v>
      </c>
      <c r="E143" s="7"/>
      <c r="F143" s="8">
        <f t="shared" si="0"/>
        <v>27674.229999999992</v>
      </c>
    </row>
    <row r="144" spans="2:6" ht="14.25" customHeight="1" x14ac:dyDescent="0.25">
      <c r="B144" s="5">
        <v>41402</v>
      </c>
      <c r="C144" s="6" t="s">
        <v>11</v>
      </c>
      <c r="D144" s="7"/>
      <c r="E144" s="7">
        <v>343</v>
      </c>
      <c r="F144" s="8">
        <f t="shared" si="0"/>
        <v>27331.229999999992</v>
      </c>
    </row>
    <row r="145" spans="2:6" ht="14.25" customHeight="1" x14ac:dyDescent="0.25">
      <c r="B145" s="5">
        <v>41402</v>
      </c>
      <c r="C145" s="6" t="s">
        <v>11</v>
      </c>
      <c r="D145" s="7">
        <v>35.450000000000003</v>
      </c>
      <c r="F145" s="8">
        <f t="shared" si="0"/>
        <v>27366.679999999993</v>
      </c>
    </row>
    <row r="146" spans="2:6" ht="14.25" customHeight="1" x14ac:dyDescent="0.25">
      <c r="B146" s="5">
        <v>41402</v>
      </c>
      <c r="C146" s="6" t="s">
        <v>27</v>
      </c>
      <c r="D146" s="7"/>
      <c r="E146" s="7">
        <v>0.6</v>
      </c>
      <c r="F146" s="8">
        <f t="shared" si="0"/>
        <v>27366.079999999994</v>
      </c>
    </row>
    <row r="147" spans="2:6" ht="14.25" customHeight="1" x14ac:dyDescent="0.25">
      <c r="B147" s="5">
        <v>41403</v>
      </c>
      <c r="C147" s="6" t="s">
        <v>10</v>
      </c>
      <c r="D147" s="7">
        <v>456</v>
      </c>
      <c r="E147" s="7"/>
      <c r="F147" s="8">
        <f t="shared" si="0"/>
        <v>27822.079999999994</v>
      </c>
    </row>
    <row r="148" spans="2:6" ht="14.25" customHeight="1" x14ac:dyDescent="0.25">
      <c r="B148" s="5">
        <v>41404</v>
      </c>
      <c r="C148" s="6" t="s">
        <v>10</v>
      </c>
      <c r="D148" s="7">
        <v>251.5</v>
      </c>
      <c r="E148" s="7"/>
      <c r="F148" s="8">
        <f t="shared" si="0"/>
        <v>28073.579999999994</v>
      </c>
    </row>
    <row r="149" spans="2:6" ht="14.25" customHeight="1" x14ac:dyDescent="0.25">
      <c r="B149" s="5">
        <v>41405</v>
      </c>
      <c r="C149" s="6" t="s">
        <v>28</v>
      </c>
      <c r="D149" s="7"/>
      <c r="E149" s="7">
        <v>11250</v>
      </c>
      <c r="F149" s="8">
        <f t="shared" si="0"/>
        <v>16823.579999999994</v>
      </c>
    </row>
    <row r="150" spans="2:6" ht="14.25" customHeight="1" x14ac:dyDescent="0.25">
      <c r="B150" s="5">
        <v>41405</v>
      </c>
      <c r="C150" s="6" t="s">
        <v>11</v>
      </c>
      <c r="D150" s="7"/>
      <c r="E150" s="7">
        <v>497</v>
      </c>
      <c r="F150" s="8">
        <f t="shared" si="0"/>
        <v>16326.579999999994</v>
      </c>
    </row>
    <row r="151" spans="2:6" ht="14.25" customHeight="1" x14ac:dyDescent="0.25">
      <c r="B151" s="5">
        <v>41405</v>
      </c>
      <c r="C151" s="6" t="s">
        <v>11</v>
      </c>
      <c r="D151" s="7"/>
      <c r="E151" s="7">
        <v>483</v>
      </c>
      <c r="F151" s="8">
        <f t="shared" si="0"/>
        <v>15843.579999999994</v>
      </c>
    </row>
    <row r="152" spans="2:6" ht="14.25" customHeight="1" x14ac:dyDescent="0.25">
      <c r="B152" s="5">
        <v>41405</v>
      </c>
      <c r="C152" s="6" t="s">
        <v>11</v>
      </c>
      <c r="D152" s="7"/>
      <c r="E152" s="7">
        <v>420</v>
      </c>
      <c r="F152" s="8">
        <f t="shared" si="0"/>
        <v>15423.579999999994</v>
      </c>
    </row>
    <row r="153" spans="2:6" ht="14.25" customHeight="1" x14ac:dyDescent="0.25">
      <c r="B153" s="5">
        <v>41406</v>
      </c>
      <c r="C153" s="6" t="s">
        <v>29</v>
      </c>
      <c r="D153" s="7"/>
      <c r="E153" s="7">
        <v>1.98</v>
      </c>
      <c r="F153" s="8">
        <f t="shared" si="0"/>
        <v>15421.599999999995</v>
      </c>
    </row>
    <row r="154" spans="2:6" ht="14.25" customHeight="1" x14ac:dyDescent="0.25">
      <c r="B154" s="5">
        <v>41406</v>
      </c>
      <c r="C154" s="6" t="s">
        <v>16</v>
      </c>
      <c r="D154" s="7"/>
      <c r="E154" s="7">
        <v>128.41</v>
      </c>
      <c r="F154" s="8">
        <f t="shared" si="0"/>
        <v>15293.189999999995</v>
      </c>
    </row>
    <row r="155" spans="2:6" ht="14.25" customHeight="1" x14ac:dyDescent="0.25">
      <c r="B155" s="5">
        <v>41406</v>
      </c>
      <c r="C155" s="6" t="s">
        <v>17</v>
      </c>
      <c r="D155" s="7"/>
      <c r="E155" s="7">
        <v>157.09</v>
      </c>
      <c r="F155" s="8">
        <f t="shared" si="0"/>
        <v>15136.099999999995</v>
      </c>
    </row>
    <row r="156" spans="2:6" ht="14.25" customHeight="1" x14ac:dyDescent="0.25">
      <c r="B156" s="5">
        <v>41406</v>
      </c>
      <c r="C156" s="6" t="s">
        <v>10</v>
      </c>
      <c r="D156" s="7">
        <v>1195</v>
      </c>
      <c r="E156" s="7"/>
      <c r="F156" s="8">
        <f t="shared" si="0"/>
        <v>16331.099999999995</v>
      </c>
    </row>
    <row r="157" spans="2:6" ht="14.25" customHeight="1" x14ac:dyDescent="0.25">
      <c r="B157" s="5">
        <v>41406</v>
      </c>
      <c r="C157" s="6" t="s">
        <v>11</v>
      </c>
      <c r="D157" s="7"/>
      <c r="E157" s="7">
        <v>215.44</v>
      </c>
      <c r="F157" s="8">
        <f t="shared" si="0"/>
        <v>16115.659999999994</v>
      </c>
    </row>
    <row r="158" spans="2:6" ht="14.25" customHeight="1" x14ac:dyDescent="0.25">
      <c r="B158" s="5">
        <v>41407</v>
      </c>
      <c r="C158" s="6" t="s">
        <v>10</v>
      </c>
      <c r="D158" s="7">
        <v>515</v>
      </c>
      <c r="E158" s="7"/>
      <c r="F158" s="8">
        <f t="shared" si="0"/>
        <v>16630.659999999996</v>
      </c>
    </row>
    <row r="159" spans="2:6" ht="14.25" customHeight="1" x14ac:dyDescent="0.25">
      <c r="B159" s="5">
        <v>41408</v>
      </c>
      <c r="C159" s="6" t="s">
        <v>10</v>
      </c>
      <c r="D159" s="7">
        <v>1895</v>
      </c>
      <c r="E159" s="7"/>
      <c r="F159" s="8">
        <f t="shared" si="0"/>
        <v>18525.659999999996</v>
      </c>
    </row>
    <row r="160" spans="2:6" ht="14.25" customHeight="1" x14ac:dyDescent="0.25">
      <c r="B160" s="5">
        <v>41408</v>
      </c>
      <c r="C160" s="6" t="s">
        <v>11</v>
      </c>
      <c r="D160" s="7"/>
      <c r="E160" s="7">
        <v>519.5</v>
      </c>
      <c r="F160" s="8">
        <f t="shared" si="0"/>
        <v>18006.159999999996</v>
      </c>
    </row>
    <row r="161" spans="2:6" ht="14.25" customHeight="1" x14ac:dyDescent="0.25">
      <c r="B161" s="5">
        <v>41409</v>
      </c>
      <c r="C161" s="6" t="s">
        <v>10</v>
      </c>
      <c r="D161" s="7">
        <v>3565</v>
      </c>
      <c r="E161" s="7"/>
      <c r="F161" s="8">
        <f t="shared" si="0"/>
        <v>21571.159999999996</v>
      </c>
    </row>
    <row r="162" spans="2:6" ht="14.25" customHeight="1" x14ac:dyDescent="0.25">
      <c r="B162" s="5">
        <v>41410</v>
      </c>
      <c r="C162" s="6" t="s">
        <v>10</v>
      </c>
      <c r="D162" s="7">
        <v>305</v>
      </c>
      <c r="E162" s="7"/>
      <c r="F162" s="8">
        <f t="shared" si="0"/>
        <v>21876.159999999996</v>
      </c>
    </row>
    <row r="163" spans="2:6" ht="14.25" customHeight="1" x14ac:dyDescent="0.25">
      <c r="B163" s="5">
        <v>41410</v>
      </c>
      <c r="C163" s="6" t="s">
        <v>11</v>
      </c>
      <c r="D163" s="7"/>
      <c r="E163" s="7">
        <v>364</v>
      </c>
      <c r="F163" s="8">
        <f t="shared" si="0"/>
        <v>21512.159999999996</v>
      </c>
    </row>
    <row r="164" spans="2:6" ht="14.25" customHeight="1" x14ac:dyDescent="0.25">
      <c r="B164" s="5">
        <v>41410</v>
      </c>
      <c r="C164" s="6" t="s">
        <v>11</v>
      </c>
      <c r="D164" s="7">
        <v>29.34</v>
      </c>
      <c r="F164" s="8">
        <f t="shared" si="0"/>
        <v>21541.499999999996</v>
      </c>
    </row>
    <row r="165" spans="2:6" ht="14.25" customHeight="1" x14ac:dyDescent="0.25">
      <c r="B165" s="5">
        <v>41410</v>
      </c>
      <c r="C165" s="6" t="s">
        <v>30</v>
      </c>
      <c r="D165" s="7"/>
      <c r="E165" s="7">
        <v>422.55</v>
      </c>
      <c r="F165" s="8">
        <f t="shared" si="0"/>
        <v>21118.949999999997</v>
      </c>
    </row>
    <row r="166" spans="2:6" ht="14.25" customHeight="1" x14ac:dyDescent="0.25">
      <c r="B166" s="5">
        <v>41411</v>
      </c>
      <c r="C166" s="6" t="s">
        <v>10</v>
      </c>
      <c r="D166" s="7">
        <v>550</v>
      </c>
      <c r="E166" s="7"/>
      <c r="F166" s="8">
        <f t="shared" si="0"/>
        <v>21668.949999999997</v>
      </c>
    </row>
    <row r="167" spans="2:6" ht="14.25" customHeight="1" x14ac:dyDescent="0.25">
      <c r="B167" s="5">
        <v>41414</v>
      </c>
      <c r="C167" s="6" t="s">
        <v>16</v>
      </c>
      <c r="D167" s="7"/>
      <c r="E167" s="7">
        <v>150.9</v>
      </c>
      <c r="F167" s="8">
        <f t="shared" si="0"/>
        <v>21518.049999999996</v>
      </c>
    </row>
    <row r="168" spans="2:6" ht="14.25" customHeight="1" x14ac:dyDescent="0.25">
      <c r="B168" s="5">
        <v>41414</v>
      </c>
      <c r="C168" s="6" t="s">
        <v>11</v>
      </c>
      <c r="D168" s="7"/>
      <c r="E168" s="7">
        <v>335</v>
      </c>
      <c r="F168" s="8">
        <f t="shared" si="0"/>
        <v>21183.049999999996</v>
      </c>
    </row>
    <row r="169" spans="2:6" ht="14.25" customHeight="1" x14ac:dyDescent="0.25">
      <c r="B169" s="5">
        <v>41414</v>
      </c>
      <c r="C169" s="6" t="s">
        <v>11</v>
      </c>
      <c r="D169" s="7"/>
      <c r="E169" s="7">
        <v>388</v>
      </c>
      <c r="F169" s="8">
        <f t="shared" si="0"/>
        <v>20795.049999999996</v>
      </c>
    </row>
    <row r="170" spans="2:6" ht="14.25" customHeight="1" x14ac:dyDescent="0.25">
      <c r="B170" s="5">
        <v>41414</v>
      </c>
      <c r="C170" s="6" t="s">
        <v>10</v>
      </c>
      <c r="D170" s="7">
        <v>1360</v>
      </c>
      <c r="E170" s="7"/>
      <c r="F170" s="8">
        <f t="shared" si="0"/>
        <v>22155.049999999996</v>
      </c>
    </row>
    <row r="171" spans="2:6" ht="14.25" customHeight="1" x14ac:dyDescent="0.25">
      <c r="B171" s="5">
        <v>41414</v>
      </c>
      <c r="C171" s="6" t="s">
        <v>14</v>
      </c>
      <c r="D171" s="7"/>
      <c r="E171" s="7">
        <v>114</v>
      </c>
      <c r="F171" s="8">
        <f t="shared" si="0"/>
        <v>22041.049999999996</v>
      </c>
    </row>
    <row r="172" spans="2:6" ht="14.25" customHeight="1" x14ac:dyDescent="0.25">
      <c r="B172" s="5">
        <v>41415</v>
      </c>
      <c r="C172" s="6" t="s">
        <v>10</v>
      </c>
      <c r="D172" s="7">
        <v>520</v>
      </c>
      <c r="E172" s="7"/>
      <c r="F172" s="8">
        <f t="shared" si="0"/>
        <v>22561.049999999996</v>
      </c>
    </row>
    <row r="173" spans="2:6" ht="14.25" customHeight="1" x14ac:dyDescent="0.25">
      <c r="B173" s="5">
        <v>41416</v>
      </c>
      <c r="C173" s="6" t="s">
        <v>11</v>
      </c>
      <c r="D173" s="7">
        <v>30.11</v>
      </c>
      <c r="F173" s="8">
        <f t="shared" si="0"/>
        <v>22591.159999999996</v>
      </c>
    </row>
    <row r="174" spans="2:6" ht="14.25" customHeight="1" x14ac:dyDescent="0.25">
      <c r="B174" s="5">
        <v>41420</v>
      </c>
      <c r="C174" s="6" t="s">
        <v>16</v>
      </c>
      <c r="D174" s="7"/>
      <c r="E174" s="7">
        <v>149.24</v>
      </c>
      <c r="F174" s="8">
        <f t="shared" si="0"/>
        <v>22441.919999999995</v>
      </c>
    </row>
    <row r="175" spans="2:6" ht="14.25" customHeight="1" x14ac:dyDescent="0.25">
      <c r="B175" s="5">
        <v>41420</v>
      </c>
      <c r="C175" s="6" t="s">
        <v>11</v>
      </c>
      <c r="D175" s="7"/>
      <c r="E175" s="7">
        <v>220</v>
      </c>
      <c r="F175" s="8">
        <f t="shared" si="0"/>
        <v>22221.919999999995</v>
      </c>
    </row>
    <row r="176" spans="2:6" ht="14.25" customHeight="1" x14ac:dyDescent="0.25">
      <c r="B176" s="5">
        <v>41420</v>
      </c>
      <c r="C176" s="6" t="s">
        <v>11</v>
      </c>
      <c r="D176" s="7"/>
      <c r="E176" s="7">
        <v>417</v>
      </c>
      <c r="F176" s="8">
        <f t="shared" si="0"/>
        <v>21804.919999999995</v>
      </c>
    </row>
    <row r="177" spans="2:10" ht="14.25" customHeight="1" x14ac:dyDescent="0.25">
      <c r="B177" s="5">
        <v>41421</v>
      </c>
      <c r="C177" s="6" t="s">
        <v>10</v>
      </c>
      <c r="D177" s="7">
        <v>500</v>
      </c>
      <c r="E177" s="7"/>
      <c r="F177" s="8">
        <f t="shared" si="0"/>
        <v>22304.919999999995</v>
      </c>
    </row>
    <row r="178" spans="2:10" ht="14.25" customHeight="1" x14ac:dyDescent="0.25">
      <c r="B178" s="5">
        <v>41422</v>
      </c>
      <c r="C178" s="6" t="s">
        <v>10</v>
      </c>
      <c r="D178" s="7">
        <v>1685</v>
      </c>
      <c r="E178" s="7"/>
      <c r="F178" s="8">
        <f t="shared" si="0"/>
        <v>23989.919999999995</v>
      </c>
    </row>
    <row r="179" spans="2:10" ht="14.25" customHeight="1" x14ac:dyDescent="0.25">
      <c r="B179" s="5">
        <v>41423</v>
      </c>
      <c r="C179" s="6" t="s">
        <v>10</v>
      </c>
      <c r="D179" s="7">
        <v>400</v>
      </c>
      <c r="E179" s="7"/>
      <c r="F179" s="8">
        <f t="shared" si="0"/>
        <v>24389.919999999995</v>
      </c>
    </row>
    <row r="180" spans="2:10" ht="14.25" customHeight="1" x14ac:dyDescent="0.25">
      <c r="B180" s="5">
        <v>41423</v>
      </c>
      <c r="C180" s="6" t="s">
        <v>11</v>
      </c>
      <c r="D180" s="7"/>
      <c r="E180" s="7">
        <v>359</v>
      </c>
      <c r="F180" s="8">
        <f t="shared" si="0"/>
        <v>24030.919999999995</v>
      </c>
    </row>
    <row r="181" spans="2:10" ht="14.25" customHeight="1" x14ac:dyDescent="0.25">
      <c r="B181" s="5">
        <v>41423</v>
      </c>
      <c r="C181" s="6" t="s">
        <v>11</v>
      </c>
      <c r="D181" s="7">
        <v>29.31</v>
      </c>
      <c r="F181" s="8">
        <f t="shared" si="0"/>
        <v>24060.229999999996</v>
      </c>
    </row>
    <row r="182" spans="2:10" ht="14.25" customHeight="1" x14ac:dyDescent="0.25">
      <c r="B182" s="5">
        <v>41423</v>
      </c>
      <c r="C182" s="6" t="s">
        <v>11</v>
      </c>
      <c r="D182" s="7"/>
      <c r="E182" s="7">
        <v>200</v>
      </c>
      <c r="F182" s="8">
        <f t="shared" si="0"/>
        <v>23860.229999999996</v>
      </c>
    </row>
    <row r="183" spans="2:10" ht="14.25" customHeight="1" x14ac:dyDescent="0.25">
      <c r="B183" s="5">
        <v>41423</v>
      </c>
      <c r="C183" s="6" t="s">
        <v>15</v>
      </c>
      <c r="D183" s="7"/>
      <c r="E183" s="7">
        <v>570.48</v>
      </c>
      <c r="F183" s="8">
        <f t="shared" si="0"/>
        <v>23289.749999999996</v>
      </c>
    </row>
    <row r="184" spans="2:10" ht="14.25" customHeight="1" x14ac:dyDescent="0.25">
      <c r="B184" s="5">
        <v>41424</v>
      </c>
      <c r="C184" s="6" t="s">
        <v>23</v>
      </c>
      <c r="D184" s="7"/>
      <c r="E184" s="7">
        <v>1500</v>
      </c>
      <c r="F184" s="8">
        <f t="shared" si="0"/>
        <v>21789.749999999996</v>
      </c>
    </row>
    <row r="185" spans="2:10" ht="14.25" customHeight="1" x14ac:dyDescent="0.25">
      <c r="B185" s="5">
        <v>41425</v>
      </c>
      <c r="C185" s="6" t="s">
        <v>31</v>
      </c>
      <c r="D185" s="12">
        <v>1.5</v>
      </c>
      <c r="E185" s="12"/>
      <c r="F185" s="13">
        <f t="shared" si="0"/>
        <v>21791.249999999996</v>
      </c>
    </row>
    <row r="186" spans="2:10" ht="14.25" customHeight="1" x14ac:dyDescent="0.25">
      <c r="B186" s="5">
        <v>41425</v>
      </c>
      <c r="C186" s="14" t="s">
        <v>24</v>
      </c>
      <c r="D186" s="7"/>
      <c r="E186" s="7">
        <v>3.5</v>
      </c>
      <c r="F186" s="8">
        <f t="shared" si="0"/>
        <v>21787.749999999996</v>
      </c>
      <c r="J186" s="15"/>
    </row>
    <row r="187" spans="2:10" ht="14.25" customHeight="1" x14ac:dyDescent="0.25">
      <c r="C187" s="18" t="s">
        <v>32</v>
      </c>
      <c r="D187" s="19">
        <f>SUM(D6:D186)</f>
        <v>76429.710000000006</v>
      </c>
      <c r="E187" s="19">
        <f>SUM(E6:E186)</f>
        <v>54641.960000000006</v>
      </c>
      <c r="F187" s="19">
        <f>SUM(F6:F186)</f>
        <v>2771013.3399999989</v>
      </c>
    </row>
    <row r="188" spans="2:10" ht="14.25" customHeight="1" x14ac:dyDescent="0.25"/>
    <row r="189" spans="2:10" ht="14.25" customHeight="1" x14ac:dyDescent="0.25"/>
    <row r="190" spans="2:10" ht="14.25" customHeight="1" x14ac:dyDescent="0.25"/>
    <row r="191" spans="2:10" ht="14.25" customHeight="1" x14ac:dyDescent="0.25"/>
    <row r="192" spans="2:10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B5:F18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Statement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</dc:creator>
  <cp:lastModifiedBy>Liya 😉</cp:lastModifiedBy>
  <dcterms:created xsi:type="dcterms:W3CDTF">2018-05-07T14:26:34Z</dcterms:created>
  <dcterms:modified xsi:type="dcterms:W3CDTF">2025-07-04T21:00:49Z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2023-09-19T08:13:25Z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d91d8103-9437-4e9f-9434-cb375abdc19c</vt:lpwstr>
  </property>
  <property fmtid="{D5CDD505-2E9C-101B-9397-08002B2CF9AE}" pid="7" name="MSIP_Label_defa4170-0d19-0005-0004-bc88714345d2_ActionId">
    <vt:lpwstr>0cd9c041-92e2-4ec5-a2d6-264058e36c65</vt:lpwstr>
  </property>
  <property fmtid="{D5CDD505-2E9C-101B-9397-08002B2CF9AE}" pid="8" name="MSIP_Label_defa4170-0d19-0005-0004-bc88714345d2_ContentBits">
    <vt:lpwstr>0</vt:lpwstr>
  </property>
</Properties>
</file>