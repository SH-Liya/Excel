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1_{4BEB0875-2196-42C1-9FCD-A5EEFB19FD54}" xr6:coauthVersionLast="47" xr6:coauthVersionMax="47" xr10:uidLastSave="{00000000-0000-0000-0000-000000000000}"/>
  <bookViews>
    <workbookView xWindow="-120" yWindow="-120" windowWidth="20730" windowHeight="11040" xr2:uid="{1F59CEB5-0E31-4822-95F6-C333016CD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D21" i="1"/>
  <c r="E21" i="1"/>
  <c r="F21" i="1"/>
  <c r="H21" i="1"/>
  <c r="I21" i="1"/>
  <c r="J21" i="1"/>
  <c r="K21" i="1"/>
  <c r="D22" i="1"/>
  <c r="E22" i="1"/>
  <c r="F22" i="1"/>
  <c r="H22" i="1"/>
  <c r="I22" i="1"/>
  <c r="J22" i="1"/>
  <c r="K22" i="1"/>
  <c r="D23" i="1"/>
  <c r="E23" i="1"/>
  <c r="F23" i="1"/>
  <c r="H23" i="1"/>
  <c r="I23" i="1"/>
  <c r="J23" i="1"/>
  <c r="K23" i="1"/>
  <c r="C23" i="1"/>
  <c r="C22" i="1"/>
  <c r="C21" i="1"/>
  <c r="H14" i="1"/>
  <c r="M14" i="1" s="1"/>
  <c r="I8" i="1"/>
  <c r="M8" i="1"/>
  <c r="M9" i="1"/>
  <c r="M10" i="1"/>
  <c r="M11" i="1"/>
  <c r="M12" i="1"/>
  <c r="M13" i="1"/>
  <c r="M16" i="1"/>
  <c r="M17" i="1"/>
  <c r="M18" i="1"/>
  <c r="M19" i="1"/>
  <c r="M4" i="1"/>
  <c r="I6" i="1"/>
  <c r="I10" i="1"/>
  <c r="I4" i="1"/>
  <c r="K4" i="1"/>
  <c r="I5" i="1"/>
  <c r="K5" i="1"/>
  <c r="K6" i="1"/>
  <c r="I7" i="1"/>
  <c r="K7" i="1"/>
  <c r="K8" i="1"/>
  <c r="I9" i="1"/>
  <c r="K9" i="1"/>
  <c r="K10" i="1"/>
  <c r="I11" i="1"/>
  <c r="I12" i="1"/>
  <c r="K12" i="1"/>
  <c r="I13" i="1"/>
  <c r="K13" i="1"/>
  <c r="I14" i="1"/>
  <c r="K14" i="1"/>
  <c r="I15" i="1"/>
  <c r="M15" i="1" s="1"/>
  <c r="K15" i="1"/>
  <c r="I16" i="1"/>
  <c r="K16" i="1"/>
  <c r="I17" i="1"/>
  <c r="K17" i="1"/>
  <c r="I18" i="1"/>
  <c r="K18" i="1"/>
  <c r="I19" i="1"/>
  <c r="K19" i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4" i="1"/>
  <c r="E4" i="1"/>
  <c r="J4" i="1" s="1"/>
  <c r="M7" i="1" l="1"/>
  <c r="E5" i="1"/>
  <c r="J5" i="1" l="1"/>
  <c r="E6" i="1"/>
  <c r="E7" i="1" l="1"/>
  <c r="J6" i="1"/>
  <c r="M6" i="1" s="1"/>
  <c r="E8" i="1" l="1"/>
  <c r="J7" i="1"/>
  <c r="E9" i="1" l="1"/>
  <c r="J8" i="1"/>
  <c r="E10" i="1" l="1"/>
  <c r="J9" i="1"/>
  <c r="E11" i="1" l="1"/>
  <c r="J10" i="1"/>
  <c r="E12" i="1" l="1"/>
  <c r="J11" i="1"/>
  <c r="E13" i="1" l="1"/>
  <c r="J12" i="1"/>
  <c r="E14" i="1" l="1"/>
  <c r="J13" i="1"/>
  <c r="E15" i="1" l="1"/>
  <c r="J14" i="1"/>
  <c r="E16" i="1" l="1"/>
  <c r="J15" i="1"/>
  <c r="E17" i="1" l="1"/>
  <c r="J16" i="1"/>
  <c r="E18" i="1" l="1"/>
  <c r="J17" i="1"/>
  <c r="J19" i="1" l="1"/>
  <c r="J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4" authorId="0" shapeId="0" xr:uid="{2528E683-FA93-43BD-8EA0-7D34806A4F1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
The formula =OR(H5&lt;0.5, I5&lt;0.5, J5&lt;0.5, K5&lt;0.5) checks if any of the cells H5, I5, J5, or K5 contain a value less than 0.5.
 If at least one of them is less than 0.5, the formula returns TRUE; otherwise, it returns FALSE.</t>
        </r>
      </text>
    </comment>
  </commentList>
</comments>
</file>

<file path=xl/sharedStrings.xml><?xml version="1.0" encoding="utf-8"?>
<sst xmlns="http://schemas.openxmlformats.org/spreadsheetml/2006/main" count="48" uniqueCount="43">
  <si>
    <t xml:space="preserve">First Name </t>
  </si>
  <si>
    <t>Last Name</t>
  </si>
  <si>
    <t xml:space="preserve">Tadashi </t>
  </si>
  <si>
    <t>Hamada</t>
  </si>
  <si>
    <t xml:space="preserve">Hero </t>
  </si>
  <si>
    <t>Voalt</t>
  </si>
  <si>
    <t>Awi</t>
  </si>
  <si>
    <t xml:space="preserve">Lui </t>
  </si>
  <si>
    <t>Shirosagi</t>
  </si>
  <si>
    <t xml:space="preserve">Shu </t>
  </si>
  <si>
    <t>Kuronai</t>
  </si>
  <si>
    <t>Song</t>
  </si>
  <si>
    <t xml:space="preserve">Lee </t>
  </si>
  <si>
    <t>Minho</t>
  </si>
  <si>
    <t>DoHyun</t>
  </si>
  <si>
    <t>Go</t>
  </si>
  <si>
    <t>Eunhyeok</t>
  </si>
  <si>
    <t>Robert</t>
  </si>
  <si>
    <t>Downey</t>
  </si>
  <si>
    <t xml:space="preserve">Johnny </t>
  </si>
  <si>
    <t>Deep</t>
  </si>
  <si>
    <t>Chris</t>
  </si>
  <si>
    <t>Hemsworth</t>
  </si>
  <si>
    <t>Beiming</t>
  </si>
  <si>
    <t>Ye</t>
  </si>
  <si>
    <t xml:space="preserve">Salman </t>
  </si>
  <si>
    <t>Khan</t>
  </si>
  <si>
    <t xml:space="preserve">Ritesh </t>
  </si>
  <si>
    <t>Deshmuk</t>
  </si>
  <si>
    <t>Sadia Hossain</t>
  </si>
  <si>
    <t>Liya</t>
  </si>
  <si>
    <t>GradeBook</t>
  </si>
  <si>
    <r>
      <rPr>
        <sz val="11"/>
        <color rgb="FFFF0000"/>
        <rFont val="Aptos Narrow"/>
        <family val="2"/>
        <scheme val="minor"/>
      </rPr>
      <t>Safety Test</t>
    </r>
    <r>
      <rPr>
        <sz val="11"/>
        <color theme="1"/>
        <rFont val="Aptos Narrow"/>
        <family val="2"/>
        <scheme val="minor"/>
      </rPr>
      <t xml:space="preserve"> </t>
    </r>
  </si>
  <si>
    <t>Company Philosophy Test</t>
  </si>
  <si>
    <t>Financial Skill Test</t>
  </si>
  <si>
    <t>Drug Test</t>
  </si>
  <si>
    <t>Points Possible</t>
  </si>
  <si>
    <t>Fire Employee?</t>
  </si>
  <si>
    <t>Junki</t>
  </si>
  <si>
    <t>Max</t>
  </si>
  <si>
    <t>Min</t>
  </si>
  <si>
    <t>Average</t>
  </si>
  <si>
    <t xml:space="preserve">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</si>
</sst>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/>
    <xf numFmtId="9" fontId="0" fillId="0" borderId="0" xfId="1" applyFont="1"/>
    <xf numFmtId="0" fontId="0" fillId="3" borderId="0" xfId="0" applyFill="1"/>
    <xf numFmtId="0" fontId="3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3" borderId="0" xfId="0" applyFill="1" applyAlignment="1">
      <alignment textRotation="90"/>
    </xf>
    <xf numFmtId="0" fontId="2" fillId="3" borderId="0" xfId="0" applyFont="1" applyFill="1" applyAlignment="1">
      <alignment textRotation="90"/>
    </xf>
    <xf numFmtId="0" fontId="3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Tadashi </c:v>
                </c:pt>
                <c:pt idx="1">
                  <c:v>Hero </c:v>
                </c:pt>
                <c:pt idx="2">
                  <c:v>Voalt</c:v>
                </c:pt>
                <c:pt idx="3">
                  <c:v>Lui </c:v>
                </c:pt>
                <c:pt idx="4">
                  <c:v>Shu </c:v>
                </c:pt>
                <c:pt idx="5">
                  <c:v>Song</c:v>
                </c:pt>
                <c:pt idx="6">
                  <c:v>Lee </c:v>
                </c:pt>
                <c:pt idx="7">
                  <c:v>Le </c:v>
                </c:pt>
                <c:pt idx="8">
                  <c:v>Go</c:v>
                </c:pt>
                <c:pt idx="9">
                  <c:v>Robert</c:v>
                </c:pt>
                <c:pt idx="10">
                  <c:v>Johnny </c:v>
                </c:pt>
                <c:pt idx="11">
                  <c:v>Chris</c:v>
                </c:pt>
                <c:pt idx="12">
                  <c:v>Beiming</c:v>
                </c:pt>
                <c:pt idx="13">
                  <c:v>Salman </c:v>
                </c:pt>
                <c:pt idx="14">
                  <c:v>Ritesh </c:v>
                </c:pt>
                <c:pt idx="15">
                  <c:v>Sadia Hossain</c:v>
                </c:pt>
              </c:strCache>
            </c:strRef>
          </c:cat>
          <c:val>
            <c:numRef>
              <c:f>Sheet1!$C$4:$C$19</c:f>
              <c:numCache>
                <c:formatCode>General</c:formatCod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2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10</c:v>
                </c:pt>
                <c:pt idx="11">
                  <c:v>5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1-49F7-AD22-F0652E9A9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431648"/>
        <c:axId val="580431288"/>
      </c:barChart>
      <c:catAx>
        <c:axId val="58043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1288"/>
        <c:crosses val="autoZero"/>
        <c:auto val="1"/>
        <c:lblAlgn val="ctr"/>
        <c:lblOffset val="100"/>
        <c:noMultiLvlLbl val="0"/>
      </c:catAx>
      <c:valAx>
        <c:axId val="58043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noFill/>
                </a:ln>
                <a:solidFill>
                  <a:srgbClr val="C00000"/>
                </a:solidFill>
              </a:rPr>
              <a:t>Company</a:t>
            </a:r>
            <a:r>
              <a:rPr lang="en-US" baseline="0">
                <a:ln>
                  <a:noFill/>
                </a:ln>
                <a:solidFill>
                  <a:srgbClr val="C00000"/>
                </a:solidFill>
              </a:rPr>
              <a:t> Philosophy Test</a:t>
            </a:r>
          </a:p>
          <a:p>
            <a:pPr>
              <a:defRPr>
                <a:ln>
                  <a:noFill/>
                </a:ln>
                <a:solidFill>
                  <a:srgbClr val="C00000"/>
                </a:solidFill>
              </a:defRPr>
            </a:pPr>
            <a:endParaRPr lang="en-US">
              <a:ln>
                <a:noFill/>
              </a:ln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strRef>
              <c:f>Sheet1!$A$4:$A$19</c:f>
              <c:strCache>
                <c:ptCount val="16"/>
                <c:pt idx="0">
                  <c:v>Tadashi </c:v>
                </c:pt>
                <c:pt idx="1">
                  <c:v>Hero </c:v>
                </c:pt>
                <c:pt idx="2">
                  <c:v>Voalt</c:v>
                </c:pt>
                <c:pt idx="3">
                  <c:v>Lui </c:v>
                </c:pt>
                <c:pt idx="4">
                  <c:v>Shu </c:v>
                </c:pt>
                <c:pt idx="5">
                  <c:v>Song</c:v>
                </c:pt>
                <c:pt idx="6">
                  <c:v>Lee </c:v>
                </c:pt>
                <c:pt idx="7">
                  <c:v>Le </c:v>
                </c:pt>
                <c:pt idx="8">
                  <c:v>Go</c:v>
                </c:pt>
                <c:pt idx="9">
                  <c:v>Robert</c:v>
                </c:pt>
                <c:pt idx="10">
                  <c:v>Johnny </c:v>
                </c:pt>
                <c:pt idx="11">
                  <c:v>Chris</c:v>
                </c:pt>
                <c:pt idx="12">
                  <c:v>Beiming</c:v>
                </c:pt>
                <c:pt idx="13">
                  <c:v>Salman </c:v>
                </c:pt>
                <c:pt idx="14">
                  <c:v>Ritesh </c:v>
                </c:pt>
                <c:pt idx="15">
                  <c:v>Sadia Hossain</c:v>
                </c:pt>
              </c:strCache>
            </c:strRef>
          </c:cat>
          <c:val>
            <c:numRef>
              <c:f>Sheet1!$D$4:$D$19</c:f>
              <c:numCache>
                <c:formatCode>General</c:formatCode>
                <c:ptCount val="16"/>
                <c:pt idx="0">
                  <c:v>20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19</c:v>
                </c:pt>
                <c:pt idx="12">
                  <c:v>17</c:v>
                </c:pt>
                <c:pt idx="13">
                  <c:v>18</c:v>
                </c:pt>
                <c:pt idx="14">
                  <c:v>9</c:v>
                </c:pt>
                <c:pt idx="1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1-4D03-AEE0-62E0DF48E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434528"/>
        <c:axId val="580438128"/>
      </c:barChart>
      <c:catAx>
        <c:axId val="5804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8128"/>
        <c:crosses val="autoZero"/>
        <c:auto val="1"/>
        <c:lblAlgn val="ctr"/>
        <c:lblOffset val="100"/>
        <c:noMultiLvlLbl val="0"/>
      </c:catAx>
      <c:valAx>
        <c:axId val="58043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224518</xdr:colOff>
      <xdr:row>4</xdr:row>
      <xdr:rowOff>87764</xdr:rowOff>
    </xdr:from>
    <xdr:to>
      <xdr:col>23</xdr:col>
      <xdr:colOff>251733</xdr:colOff>
      <xdr:row>19</xdr:row>
      <xdr:rowOff>78239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CCF6BD-1CDA-F363-49E9-D6C1DA3D2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217714</xdr:colOff>
      <xdr:row>21</xdr:row>
      <xdr:rowOff>33336</xdr:rowOff>
    </xdr:from>
    <xdr:to>
      <xdr:col>23</xdr:col>
      <xdr:colOff>261937</xdr:colOff>
      <xdr:row>37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CD76F6-1A3B-9613-4760-628C09094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D18D-7363-40AF-B590-C7C85FB0CFF7}">
  <sheetPr>
    <pageSetUpPr fitToPage="1"/>
  </sheetPr>
  <dimension ref="A1:M23"/>
  <sheetViews>
    <sheetView tabSelected="1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D21" sqref="AD21"/>
    </sheetView>
  </sheetViews>
  <sheetFormatPr defaultRowHeight="15" x14ac:dyDescent="0.25"/>
  <cols>
    <col min="1" max="1" width="13.140625" customWidth="1"/>
    <col min="2" max="2" width="18.85546875" customWidth="1"/>
    <col min="3" max="3" width="12.42578125" customWidth="1"/>
    <col min="4" max="4" width="26" customWidth="1"/>
    <col min="5" max="5" width="16.85546875" customWidth="1"/>
    <col min="6" max="6" width="8.5703125" customWidth="1"/>
    <col min="8" max="8" width="12.140625" customWidth="1"/>
    <col min="9" max="9" width="23.85546875" customWidth="1"/>
    <col min="10" max="10" width="18.140625" customWidth="1"/>
  </cols>
  <sheetData>
    <row r="1" spans="1:13" ht="94.5" customHeight="1" x14ac:dyDescent="0.35">
      <c r="A1" s="10" t="s">
        <v>31</v>
      </c>
      <c r="B1" s="10"/>
      <c r="C1" s="8" t="s">
        <v>32</v>
      </c>
      <c r="D1" s="9" t="s">
        <v>33</v>
      </c>
      <c r="E1" s="9" t="s">
        <v>34</v>
      </c>
      <c r="F1" s="9" t="s">
        <v>35</v>
      </c>
      <c r="G1" s="5"/>
      <c r="H1" s="8" t="s">
        <v>32</v>
      </c>
      <c r="I1" s="9" t="s">
        <v>33</v>
      </c>
      <c r="J1" s="9" t="s">
        <v>34</v>
      </c>
      <c r="K1" s="9" t="s">
        <v>35</v>
      </c>
      <c r="L1" s="8"/>
      <c r="M1" s="9" t="s">
        <v>37</v>
      </c>
    </row>
    <row r="2" spans="1:13" ht="21" x14ac:dyDescent="0.35">
      <c r="A2" s="6"/>
      <c r="B2" s="7" t="s">
        <v>36</v>
      </c>
      <c r="C2" s="3">
        <v>10</v>
      </c>
      <c r="D2" s="3">
        <v>20</v>
      </c>
      <c r="E2" s="3">
        <v>100</v>
      </c>
      <c r="F2" s="3">
        <v>1</v>
      </c>
    </row>
    <row r="3" spans="1:13" ht="15.75" x14ac:dyDescent="0.25">
      <c r="A3" s="2" t="s">
        <v>0</v>
      </c>
      <c r="B3" s="2" t="s">
        <v>1</v>
      </c>
    </row>
    <row r="4" spans="1:13" x14ac:dyDescent="0.25">
      <c r="A4" s="1" t="s">
        <v>2</v>
      </c>
      <c r="B4" s="1" t="s">
        <v>3</v>
      </c>
      <c r="C4">
        <v>10</v>
      </c>
      <c r="D4">
        <v>20</v>
      </c>
      <c r="E4">
        <f>E2-1</f>
        <v>99</v>
      </c>
      <c r="F4">
        <v>1</v>
      </c>
      <c r="H4" s="4">
        <f>C4/C$2</f>
        <v>1</v>
      </c>
      <c r="I4" s="4">
        <f>D4/D$2</f>
        <v>1</v>
      </c>
      <c r="J4" s="4">
        <f>E4/E$2</f>
        <v>0.99</v>
      </c>
      <c r="K4" s="4">
        <f t="shared" ref="I4:K19" si="0">F4/F$2</f>
        <v>1</v>
      </c>
      <c r="M4" t="b">
        <f t="shared" ref="M4:M19" si="1">OR(H4&lt;0.5,I4&lt;0.5,J4&lt;0.5,K4&lt;0.5)</f>
        <v>0</v>
      </c>
    </row>
    <row r="5" spans="1:13" x14ac:dyDescent="0.25">
      <c r="A5" s="1" t="s">
        <v>4</v>
      </c>
      <c r="B5" s="1" t="s">
        <v>3</v>
      </c>
      <c r="C5">
        <v>9</v>
      </c>
      <c r="D5">
        <v>16</v>
      </c>
      <c r="E5">
        <f>E4-1</f>
        <v>98</v>
      </c>
      <c r="F5">
        <v>1</v>
      </c>
      <c r="H5" s="4">
        <f>C5/C$2</f>
        <v>0.9</v>
      </c>
      <c r="I5" s="4">
        <f t="shared" si="0"/>
        <v>0.8</v>
      </c>
      <c r="J5" s="4">
        <f t="shared" si="0"/>
        <v>0.98</v>
      </c>
      <c r="K5" s="4">
        <f t="shared" si="0"/>
        <v>1</v>
      </c>
      <c r="M5" t="b">
        <f>OR(H5&lt;0.5,I5&lt;0.5,J5&lt;0.5,K5&lt;0.5)</f>
        <v>0</v>
      </c>
    </row>
    <row r="6" spans="1:13" x14ac:dyDescent="0.25">
      <c r="A6" s="1" t="s">
        <v>5</v>
      </c>
      <c r="B6" s="1" t="s">
        <v>6</v>
      </c>
      <c r="C6">
        <v>8</v>
      </c>
      <c r="D6">
        <v>17</v>
      </c>
      <c r="E6">
        <f t="shared" ref="E6:E18" si="2">E5-1</f>
        <v>97</v>
      </c>
      <c r="F6">
        <v>1</v>
      </c>
      <c r="H6" s="4">
        <f>C6/C$2</f>
        <v>0.8</v>
      </c>
      <c r="I6" s="4">
        <f>D6/D$2</f>
        <v>0.85</v>
      </c>
      <c r="J6" s="4">
        <f t="shared" si="0"/>
        <v>0.97</v>
      </c>
      <c r="K6" s="4">
        <f t="shared" si="0"/>
        <v>1</v>
      </c>
      <c r="M6" t="b">
        <f t="shared" si="1"/>
        <v>0</v>
      </c>
    </row>
    <row r="7" spans="1:13" x14ac:dyDescent="0.25">
      <c r="A7" s="1" t="s">
        <v>7</v>
      </c>
      <c r="B7" s="1" t="s">
        <v>8</v>
      </c>
      <c r="C7">
        <v>2</v>
      </c>
      <c r="D7">
        <v>18</v>
      </c>
      <c r="E7">
        <f t="shared" si="2"/>
        <v>96</v>
      </c>
      <c r="F7">
        <v>0</v>
      </c>
      <c r="H7" s="4">
        <f t="shared" ref="H7:H19" si="3">C7/C$2</f>
        <v>0.2</v>
      </c>
      <c r="I7" s="4">
        <f t="shared" si="0"/>
        <v>0.9</v>
      </c>
      <c r="J7" s="4">
        <f t="shared" si="0"/>
        <v>0.96</v>
      </c>
      <c r="K7" s="4">
        <f t="shared" si="0"/>
        <v>0</v>
      </c>
      <c r="M7" t="b">
        <f t="shared" si="1"/>
        <v>1</v>
      </c>
    </row>
    <row r="8" spans="1:13" x14ac:dyDescent="0.25">
      <c r="A8" s="1" t="s">
        <v>9</v>
      </c>
      <c r="B8" s="1" t="s">
        <v>10</v>
      </c>
      <c r="C8">
        <v>6</v>
      </c>
      <c r="D8">
        <v>19</v>
      </c>
      <c r="E8">
        <f t="shared" si="2"/>
        <v>95</v>
      </c>
      <c r="F8">
        <v>1</v>
      </c>
      <c r="H8" s="4">
        <f t="shared" si="3"/>
        <v>0.6</v>
      </c>
      <c r="I8" s="4">
        <f>D8/D$2</f>
        <v>0.95</v>
      </c>
      <c r="J8" s="4">
        <f t="shared" si="0"/>
        <v>0.95</v>
      </c>
      <c r="K8" s="4">
        <f t="shared" si="0"/>
        <v>1</v>
      </c>
      <c r="M8" t="b">
        <f t="shared" si="1"/>
        <v>0</v>
      </c>
    </row>
    <row r="9" spans="1:13" x14ac:dyDescent="0.25">
      <c r="A9" s="1" t="s">
        <v>11</v>
      </c>
      <c r="B9" s="1" t="s">
        <v>38</v>
      </c>
      <c r="C9">
        <v>5</v>
      </c>
      <c r="D9">
        <v>10</v>
      </c>
      <c r="E9">
        <f t="shared" si="2"/>
        <v>94</v>
      </c>
      <c r="F9">
        <v>0</v>
      </c>
      <c r="H9" s="4">
        <f t="shared" si="3"/>
        <v>0.5</v>
      </c>
      <c r="I9" s="4">
        <f t="shared" si="0"/>
        <v>0.5</v>
      </c>
      <c r="J9" s="4">
        <f t="shared" si="0"/>
        <v>0.94</v>
      </c>
      <c r="K9" s="4">
        <f t="shared" si="0"/>
        <v>0</v>
      </c>
      <c r="M9" t="b">
        <f t="shared" si="1"/>
        <v>1</v>
      </c>
    </row>
    <row r="10" spans="1:13" x14ac:dyDescent="0.25">
      <c r="A10" s="1" t="s">
        <v>12</v>
      </c>
      <c r="B10" s="1" t="s">
        <v>13</v>
      </c>
      <c r="C10">
        <v>7</v>
      </c>
      <c r="D10">
        <v>11</v>
      </c>
      <c r="E10">
        <f t="shared" si="2"/>
        <v>93</v>
      </c>
      <c r="F10">
        <v>1</v>
      </c>
      <c r="H10" s="4">
        <f t="shared" si="3"/>
        <v>0.7</v>
      </c>
      <c r="I10" s="4">
        <f>D10/D$2</f>
        <v>0.55000000000000004</v>
      </c>
      <c r="J10" s="4">
        <f t="shared" si="0"/>
        <v>0.93</v>
      </c>
      <c r="K10" s="4">
        <f t="shared" si="0"/>
        <v>1</v>
      </c>
      <c r="M10" t="b">
        <f t="shared" si="1"/>
        <v>0</v>
      </c>
    </row>
    <row r="11" spans="1:13" x14ac:dyDescent="0.25">
      <c r="A11" s="1" t="s">
        <v>42</v>
      </c>
      <c r="B11" s="1" t="s">
        <v>14</v>
      </c>
      <c r="C11">
        <v>9</v>
      </c>
      <c r="D11">
        <v>12</v>
      </c>
      <c r="E11">
        <f t="shared" si="2"/>
        <v>92</v>
      </c>
      <c r="F11">
        <v>1</v>
      </c>
      <c r="H11" s="4">
        <f t="shared" si="3"/>
        <v>0.9</v>
      </c>
      <c r="I11" s="4">
        <f t="shared" si="0"/>
        <v>0.6</v>
      </c>
      <c r="J11" s="4">
        <f t="shared" si="0"/>
        <v>0.92</v>
      </c>
      <c r="K11" s="4">
        <v>1</v>
      </c>
      <c r="M11" t="b">
        <f t="shared" si="1"/>
        <v>0</v>
      </c>
    </row>
    <row r="12" spans="1:13" x14ac:dyDescent="0.25">
      <c r="A12" s="1" t="s">
        <v>15</v>
      </c>
      <c r="B12" s="1" t="s">
        <v>16</v>
      </c>
      <c r="C12">
        <v>8</v>
      </c>
      <c r="D12">
        <v>13</v>
      </c>
      <c r="E12">
        <f t="shared" si="2"/>
        <v>91</v>
      </c>
      <c r="F12">
        <v>1</v>
      </c>
      <c r="H12" s="4">
        <f t="shared" si="3"/>
        <v>0.8</v>
      </c>
      <c r="I12" s="4">
        <f t="shared" si="0"/>
        <v>0.65</v>
      </c>
      <c r="J12" s="4">
        <f>E12/E$2</f>
        <v>0.91</v>
      </c>
      <c r="K12" s="4">
        <f t="shared" si="0"/>
        <v>1</v>
      </c>
      <c r="M12" t="b">
        <f t="shared" si="1"/>
        <v>0</v>
      </c>
    </row>
    <row r="13" spans="1:13" x14ac:dyDescent="0.25">
      <c r="A13" s="1" t="s">
        <v>17</v>
      </c>
      <c r="B13" s="1" t="s">
        <v>18</v>
      </c>
      <c r="C13">
        <v>8</v>
      </c>
      <c r="D13">
        <v>14</v>
      </c>
      <c r="E13">
        <f t="shared" si="2"/>
        <v>90</v>
      </c>
      <c r="F13">
        <v>1</v>
      </c>
      <c r="H13" s="4">
        <f t="shared" si="3"/>
        <v>0.8</v>
      </c>
      <c r="I13" s="4">
        <f t="shared" si="0"/>
        <v>0.7</v>
      </c>
      <c r="J13" s="4">
        <f t="shared" si="0"/>
        <v>0.9</v>
      </c>
      <c r="K13" s="4">
        <f t="shared" si="0"/>
        <v>1</v>
      </c>
      <c r="M13" t="b">
        <f t="shared" si="1"/>
        <v>0</v>
      </c>
    </row>
    <row r="14" spans="1:13" x14ac:dyDescent="0.25">
      <c r="A14" s="1" t="s">
        <v>19</v>
      </c>
      <c r="B14" s="1" t="s">
        <v>20</v>
      </c>
      <c r="C14">
        <v>10</v>
      </c>
      <c r="D14">
        <v>16</v>
      </c>
      <c r="E14">
        <f t="shared" si="2"/>
        <v>89</v>
      </c>
      <c r="F14">
        <v>1</v>
      </c>
      <c r="H14" s="4">
        <f>C14/C$2</f>
        <v>1</v>
      </c>
      <c r="I14" s="4">
        <f t="shared" si="0"/>
        <v>0.8</v>
      </c>
      <c r="J14" s="4">
        <f t="shared" si="0"/>
        <v>0.89</v>
      </c>
      <c r="K14" s="4">
        <f t="shared" si="0"/>
        <v>1</v>
      </c>
      <c r="M14" t="b">
        <f t="shared" si="1"/>
        <v>0</v>
      </c>
    </row>
    <row r="15" spans="1:13" x14ac:dyDescent="0.25">
      <c r="A15" s="1" t="s">
        <v>21</v>
      </c>
      <c r="B15" s="1" t="s">
        <v>22</v>
      </c>
      <c r="C15">
        <v>5</v>
      </c>
      <c r="D15">
        <v>19</v>
      </c>
      <c r="E15">
        <f t="shared" si="2"/>
        <v>88</v>
      </c>
      <c r="F15">
        <v>1</v>
      </c>
      <c r="H15" s="4">
        <f t="shared" si="3"/>
        <v>0.5</v>
      </c>
      <c r="I15" s="4">
        <f t="shared" si="0"/>
        <v>0.95</v>
      </c>
      <c r="J15" s="4">
        <f t="shared" si="0"/>
        <v>0.88</v>
      </c>
      <c r="K15" s="4">
        <f t="shared" si="0"/>
        <v>1</v>
      </c>
      <c r="M15" t="b">
        <f t="shared" si="1"/>
        <v>0</v>
      </c>
    </row>
    <row r="16" spans="1:13" x14ac:dyDescent="0.25">
      <c r="A16" s="1" t="s">
        <v>23</v>
      </c>
      <c r="B16" s="1" t="s">
        <v>24</v>
      </c>
      <c r="C16">
        <v>8</v>
      </c>
      <c r="D16">
        <v>17</v>
      </c>
      <c r="E16">
        <f t="shared" si="2"/>
        <v>87</v>
      </c>
      <c r="F16">
        <v>1</v>
      </c>
      <c r="H16" s="4">
        <f t="shared" si="3"/>
        <v>0.8</v>
      </c>
      <c r="I16" s="4">
        <f t="shared" si="0"/>
        <v>0.85</v>
      </c>
      <c r="J16" s="4">
        <f t="shared" si="0"/>
        <v>0.87</v>
      </c>
      <c r="K16" s="4">
        <f t="shared" si="0"/>
        <v>1</v>
      </c>
      <c r="M16" t="b">
        <f t="shared" si="1"/>
        <v>0</v>
      </c>
    </row>
    <row r="17" spans="1:13" x14ac:dyDescent="0.25">
      <c r="A17" s="1" t="s">
        <v>25</v>
      </c>
      <c r="B17" s="1" t="s">
        <v>26</v>
      </c>
      <c r="C17">
        <v>7</v>
      </c>
      <c r="D17">
        <v>18</v>
      </c>
      <c r="E17">
        <f>E16-1</f>
        <v>86</v>
      </c>
      <c r="F17">
        <v>1</v>
      </c>
      <c r="H17" s="4">
        <f t="shared" si="3"/>
        <v>0.7</v>
      </c>
      <c r="I17" s="4">
        <f t="shared" si="0"/>
        <v>0.9</v>
      </c>
      <c r="J17" s="4">
        <f t="shared" ref="J17:K19" si="4">E17/E$2</f>
        <v>0.86</v>
      </c>
      <c r="K17" s="4">
        <f t="shared" si="4"/>
        <v>1</v>
      </c>
      <c r="M17" t="b">
        <f t="shared" si="1"/>
        <v>0</v>
      </c>
    </row>
    <row r="18" spans="1:13" x14ac:dyDescent="0.25">
      <c r="A18" s="1" t="s">
        <v>27</v>
      </c>
      <c r="B18" s="1" t="s">
        <v>28</v>
      </c>
      <c r="C18">
        <v>6</v>
      </c>
      <c r="D18">
        <v>9</v>
      </c>
      <c r="E18">
        <f t="shared" si="2"/>
        <v>85</v>
      </c>
      <c r="F18">
        <v>1</v>
      </c>
      <c r="H18" s="4">
        <f t="shared" si="3"/>
        <v>0.6</v>
      </c>
      <c r="I18" s="4">
        <f t="shared" si="0"/>
        <v>0.45</v>
      </c>
      <c r="J18" s="4">
        <f t="shared" si="4"/>
        <v>0.85</v>
      </c>
      <c r="K18" s="4">
        <f t="shared" si="4"/>
        <v>1</v>
      </c>
      <c r="M18" t="b">
        <f t="shared" si="1"/>
        <v>1</v>
      </c>
    </row>
    <row r="19" spans="1:13" x14ac:dyDescent="0.25">
      <c r="A19" s="1" t="s">
        <v>29</v>
      </c>
      <c r="B19" s="1" t="s">
        <v>30</v>
      </c>
      <c r="C19">
        <v>11</v>
      </c>
      <c r="D19">
        <v>20</v>
      </c>
      <c r="E19">
        <v>96</v>
      </c>
      <c r="F19">
        <v>1</v>
      </c>
      <c r="H19" s="4">
        <f t="shared" si="3"/>
        <v>1.1000000000000001</v>
      </c>
      <c r="I19" s="4">
        <f t="shared" si="0"/>
        <v>1</v>
      </c>
      <c r="J19" s="4">
        <f t="shared" si="4"/>
        <v>0.96</v>
      </c>
      <c r="K19" s="4">
        <f t="shared" si="4"/>
        <v>1</v>
      </c>
      <c r="M19" t="b">
        <f t="shared" si="1"/>
        <v>0</v>
      </c>
    </row>
    <row r="21" spans="1:13" x14ac:dyDescent="0.25">
      <c r="A21" s="1" t="s">
        <v>39</v>
      </c>
      <c r="C21">
        <f>MAX(C4:C19)</f>
        <v>11</v>
      </c>
      <c r="D21">
        <f t="shared" ref="D21:K21" si="5">MAX(D4:D19)</f>
        <v>20</v>
      </c>
      <c r="E21">
        <f t="shared" si="5"/>
        <v>99</v>
      </c>
      <c r="F21">
        <f t="shared" si="5"/>
        <v>1</v>
      </c>
      <c r="H21">
        <f t="shared" si="5"/>
        <v>1.1000000000000001</v>
      </c>
      <c r="I21">
        <f t="shared" si="5"/>
        <v>1</v>
      </c>
      <c r="J21">
        <f t="shared" si="5"/>
        <v>0.99</v>
      </c>
      <c r="K21">
        <f t="shared" si="5"/>
        <v>1</v>
      </c>
    </row>
    <row r="22" spans="1:13" x14ac:dyDescent="0.25">
      <c r="A22" s="1" t="s">
        <v>40</v>
      </c>
      <c r="C22">
        <f>MIN(C4:C19)</f>
        <v>2</v>
      </c>
      <c r="D22">
        <f t="shared" ref="D22:K22" si="6">MIN(D4:D19)</f>
        <v>9</v>
      </c>
      <c r="E22">
        <f t="shared" si="6"/>
        <v>85</v>
      </c>
      <c r="F22">
        <f t="shared" si="6"/>
        <v>0</v>
      </c>
      <c r="H22">
        <f t="shared" si="6"/>
        <v>0.2</v>
      </c>
      <c r="I22">
        <f t="shared" si="6"/>
        <v>0.45</v>
      </c>
      <c r="J22">
        <f t="shared" si="6"/>
        <v>0.85</v>
      </c>
      <c r="K22">
        <f t="shared" si="6"/>
        <v>0</v>
      </c>
    </row>
    <row r="23" spans="1:13" x14ac:dyDescent="0.25">
      <c r="A23" s="1" t="s">
        <v>41</v>
      </c>
      <c r="C23">
        <f>AVERAGE(C4:C19)</f>
        <v>7.4375</v>
      </c>
      <c r="D23">
        <f t="shared" ref="D23:K23" si="7">AVERAGE(D4:D19)</f>
        <v>15.5625</v>
      </c>
      <c r="E23">
        <f t="shared" si="7"/>
        <v>92.25</v>
      </c>
      <c r="F23">
        <f t="shared" si="7"/>
        <v>0.875</v>
      </c>
      <c r="H23">
        <f t="shared" si="7"/>
        <v>0.74374999999999991</v>
      </c>
      <c r="I23">
        <f t="shared" si="7"/>
        <v>0.77812499999999996</v>
      </c>
      <c r="J23">
        <f t="shared" si="7"/>
        <v>0.92249999999999988</v>
      </c>
      <c r="K23">
        <f t="shared" si="7"/>
        <v>0.875</v>
      </c>
    </row>
  </sheetData>
  <mergeCells count="1">
    <mergeCell ref="A1:B1"/>
  </mergeCells>
  <conditionalFormatting sqref="C4:C19">
    <cfRule type="iconSet" priority="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19">
    <cfRule type="iconSet" priority="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19">
    <cfRule type="iconSet" priority="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19">
    <cfRule type="iconSet" priority="7">
      <iconSet iconSet="4TrafficLights">
        <cfvo type="percent" val="0"/>
        <cfvo type="percent" val="25"/>
        <cfvo type="percent" val="50"/>
        <cfvo type="percent" val="75"/>
      </iconSet>
    </cfRule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H4:K19">
    <cfRule type="cellIs" dxfId="2" priority="5" operator="greaterThan">
      <formula>0.9</formula>
    </cfRule>
    <cfRule type="cellIs" dxfId="1" priority="6" operator="lessThan">
      <formula>0.5</formula>
    </cfRule>
  </conditionalFormatting>
  <conditionalFormatting sqref="M4:M19">
    <cfRule type="cellIs" dxfId="0" priority="1" operator="equal">
      <formula>TRUE</formula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scale="45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 😉</dc:creator>
  <cp:lastModifiedBy>Liya 😉</cp:lastModifiedBy>
  <cp:lastPrinted>2025-06-17T19:08:07Z</cp:lastPrinted>
  <dcterms:created xsi:type="dcterms:W3CDTF">2025-06-13T16:52:43Z</dcterms:created>
  <dcterms:modified xsi:type="dcterms:W3CDTF">2025-06-17T19:08:46Z</dcterms:modified>
</cp:coreProperties>
</file>