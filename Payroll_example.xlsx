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E:\Data Analysis\Excel\"/>
    </mc:Choice>
  </mc:AlternateContent>
  <xr:revisionPtr revIDLastSave="0" documentId="13_ncr:1_{6A9293FC-F771-40B0-9A85-F7329B941C02}" xr6:coauthVersionLast="47" xr6:coauthVersionMax="47" xr10:uidLastSave="{00000000-0000-0000-0000-000000000000}"/>
  <bookViews>
    <workbookView xWindow="-120" yWindow="-120" windowWidth="20730" windowHeight="11040" xr2:uid="{F4ECA160-5702-4903-8543-2BEB76512FDE}"/>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0" i="1" l="1"/>
  <c r="AC18" i="1"/>
  <c r="AC21" i="1" s="1"/>
  <c r="AC23" i="1"/>
  <c r="AC20" i="1"/>
  <c r="AC22" i="1"/>
  <c r="AC4" i="1"/>
  <c r="AC5" i="1"/>
  <c r="AC6" i="1"/>
  <c r="AC7" i="1"/>
  <c r="AC8" i="1"/>
  <c r="AC9" i="1"/>
  <c r="AC10" i="1"/>
  <c r="AC11" i="1"/>
  <c r="AC12" i="1"/>
  <c r="AC13" i="1"/>
  <c r="AC14" i="1"/>
  <c r="AC15" i="1"/>
  <c r="AC16" i="1"/>
  <c r="AC17" i="1"/>
  <c r="AC3" i="1"/>
  <c r="AB21" i="1"/>
  <c r="X20" i="1"/>
  <c r="Y20" i="1"/>
  <c r="Z20" i="1"/>
  <c r="AA20" i="1"/>
  <c r="AB20" i="1"/>
  <c r="X21" i="1"/>
  <c r="Y21" i="1"/>
  <c r="Z21" i="1"/>
  <c r="AA21" i="1"/>
  <c r="X22" i="1"/>
  <c r="Y22" i="1"/>
  <c r="Z22" i="1"/>
  <c r="AA22" i="1"/>
  <c r="AB22" i="1"/>
  <c r="X23" i="1"/>
  <c r="Y23" i="1"/>
  <c r="Z23" i="1"/>
  <c r="AA23" i="1"/>
  <c r="AB23" i="1"/>
  <c r="W23" i="1"/>
  <c r="W22" i="1"/>
  <c r="W21" i="1"/>
  <c r="W20" i="1"/>
  <c r="AA14" i="1"/>
  <c r="Z15" i="1"/>
  <c r="AB11" i="1"/>
  <c r="Y3" i="1"/>
  <c r="Z3" i="1"/>
  <c r="AA3" i="1"/>
  <c r="AB3" i="1"/>
  <c r="Y4" i="1"/>
  <c r="Z4" i="1"/>
  <c r="AA4" i="1"/>
  <c r="AB4" i="1"/>
  <c r="Y5" i="1"/>
  <c r="Z5" i="1"/>
  <c r="AA5" i="1"/>
  <c r="AB5" i="1"/>
  <c r="Y6" i="1"/>
  <c r="Z6" i="1"/>
  <c r="AA6" i="1"/>
  <c r="AB6" i="1"/>
  <c r="Y7" i="1"/>
  <c r="Z7" i="1"/>
  <c r="AA7" i="1"/>
  <c r="AB7" i="1"/>
  <c r="Y8" i="1"/>
  <c r="Z8" i="1"/>
  <c r="AA8" i="1"/>
  <c r="AB8" i="1"/>
  <c r="Y9" i="1"/>
  <c r="Z9" i="1"/>
  <c r="AA9" i="1"/>
  <c r="AB9" i="1"/>
  <c r="Y10" i="1"/>
  <c r="Z10" i="1"/>
  <c r="AA10" i="1"/>
  <c r="AB10" i="1"/>
  <c r="Y11" i="1"/>
  <c r="Z11" i="1"/>
  <c r="AA11" i="1"/>
  <c r="Y12" i="1"/>
  <c r="Z12" i="1"/>
  <c r="AA12" i="1"/>
  <c r="AB12" i="1"/>
  <c r="Y13" i="1"/>
  <c r="Z13" i="1"/>
  <c r="AA13" i="1"/>
  <c r="AB13" i="1"/>
  <c r="Y14" i="1"/>
  <c r="Z14" i="1"/>
  <c r="AB14" i="1"/>
  <c r="Y15" i="1"/>
  <c r="AA15" i="1"/>
  <c r="AB15" i="1"/>
  <c r="Y16" i="1"/>
  <c r="Z16" i="1"/>
  <c r="AA16" i="1"/>
  <c r="AB16" i="1"/>
  <c r="Y17" i="1"/>
  <c r="Z17" i="1"/>
  <c r="AA17" i="1"/>
  <c r="AB17" i="1"/>
  <c r="Y18" i="1"/>
  <c r="Z18" i="1"/>
  <c r="AA18" i="1"/>
  <c r="AB18" i="1"/>
  <c r="X3" i="1"/>
  <c r="AB2" i="1"/>
  <c r="AA2" i="1"/>
  <c r="Z2" i="1"/>
  <c r="Y2" i="1"/>
  <c r="X14" i="1"/>
  <c r="X11" i="1"/>
  <c r="X4" i="1"/>
  <c r="X5" i="1"/>
  <c r="X6" i="1"/>
  <c r="X7" i="1"/>
  <c r="X8" i="1"/>
  <c r="X9" i="1"/>
  <c r="X10" i="1"/>
  <c r="X12" i="1"/>
  <c r="X13" i="1"/>
  <c r="X15" i="1"/>
  <c r="X16" i="1"/>
  <c r="X17" i="1"/>
  <c r="X18" i="1"/>
  <c r="T20" i="1"/>
  <c r="U20" i="1"/>
  <c r="V20" i="1"/>
  <c r="T21" i="1"/>
  <c r="U21" i="1"/>
  <c r="V21" i="1"/>
  <c r="T22" i="1"/>
  <c r="U22" i="1"/>
  <c r="V22" i="1"/>
  <c r="T23" i="1"/>
  <c r="U23" i="1"/>
  <c r="V23" i="1"/>
  <c r="T3" i="1"/>
  <c r="U3" i="1"/>
  <c r="V3" i="1"/>
  <c r="W3" i="1"/>
  <c r="T4" i="1"/>
  <c r="U4" i="1"/>
  <c r="V4" i="1"/>
  <c r="W4" i="1"/>
  <c r="T5" i="1"/>
  <c r="U5" i="1"/>
  <c r="V5" i="1"/>
  <c r="W5" i="1"/>
  <c r="T6" i="1"/>
  <c r="U6" i="1"/>
  <c r="V6" i="1"/>
  <c r="W6" i="1"/>
  <c r="T7" i="1"/>
  <c r="U7" i="1"/>
  <c r="V7" i="1"/>
  <c r="W7" i="1"/>
  <c r="T8" i="1"/>
  <c r="U8" i="1"/>
  <c r="V8" i="1"/>
  <c r="W8" i="1"/>
  <c r="T9" i="1"/>
  <c r="U9" i="1"/>
  <c r="V9" i="1"/>
  <c r="W9" i="1"/>
  <c r="T10" i="1"/>
  <c r="U10" i="1"/>
  <c r="V10" i="1"/>
  <c r="W10" i="1"/>
  <c r="T11" i="1"/>
  <c r="U11" i="1"/>
  <c r="V11" i="1"/>
  <c r="W11" i="1"/>
  <c r="T12" i="1"/>
  <c r="U12" i="1"/>
  <c r="V12" i="1"/>
  <c r="W12" i="1"/>
  <c r="T13" i="1"/>
  <c r="U13" i="1"/>
  <c r="V13" i="1"/>
  <c r="W13" i="1"/>
  <c r="T14" i="1"/>
  <c r="U14" i="1"/>
  <c r="V14" i="1"/>
  <c r="W14" i="1"/>
  <c r="T15" i="1"/>
  <c r="U15" i="1"/>
  <c r="V15" i="1"/>
  <c r="W15" i="1"/>
  <c r="T16" i="1"/>
  <c r="U16" i="1"/>
  <c r="V16" i="1"/>
  <c r="W16" i="1"/>
  <c r="T17" i="1"/>
  <c r="U17" i="1"/>
  <c r="V17" i="1"/>
  <c r="W17" i="1"/>
  <c r="T18" i="1"/>
  <c r="U18" i="1"/>
  <c r="V18" i="1"/>
  <c r="W18" i="1"/>
  <c r="S11" i="1"/>
  <c r="S7" i="1"/>
  <c r="S4" i="1"/>
  <c r="S5" i="1"/>
  <c r="S6" i="1"/>
  <c r="S8" i="1"/>
  <c r="S9" i="1"/>
  <c r="S10" i="1"/>
  <c r="S12" i="1"/>
  <c r="S13" i="1"/>
  <c r="S14" i="1"/>
  <c r="S15" i="1"/>
  <c r="S16" i="1"/>
  <c r="S17" i="1"/>
  <c r="S18" i="1"/>
  <c r="S23" i="1"/>
  <c r="S3" i="1"/>
  <c r="R21" i="1"/>
  <c r="R22" i="1"/>
  <c r="R23" i="1"/>
  <c r="W2" i="1"/>
  <c r="U2" i="1"/>
  <c r="V2" i="1" s="1"/>
  <c r="T2" i="1"/>
  <c r="N3" i="1"/>
  <c r="C20" i="1"/>
  <c r="C21" i="1"/>
  <c r="C22" i="1"/>
  <c r="C23" i="1"/>
  <c r="R12" i="1"/>
  <c r="P6" i="1"/>
  <c r="O3" i="1"/>
  <c r="P3" i="1"/>
  <c r="Q3" i="1"/>
  <c r="R3" i="1"/>
  <c r="O4" i="1"/>
  <c r="P4" i="1"/>
  <c r="Q4" i="1"/>
  <c r="R4" i="1"/>
  <c r="O5" i="1"/>
  <c r="P5" i="1"/>
  <c r="Q5" i="1"/>
  <c r="R5" i="1"/>
  <c r="O6" i="1"/>
  <c r="Q6" i="1"/>
  <c r="R6" i="1"/>
  <c r="O7" i="1"/>
  <c r="P7" i="1"/>
  <c r="Q7" i="1"/>
  <c r="R7" i="1"/>
  <c r="O8" i="1"/>
  <c r="P8" i="1"/>
  <c r="Q8" i="1"/>
  <c r="R8" i="1"/>
  <c r="O9" i="1"/>
  <c r="P9" i="1"/>
  <c r="Q9" i="1"/>
  <c r="R9" i="1"/>
  <c r="O10" i="1"/>
  <c r="P10" i="1"/>
  <c r="Q10" i="1"/>
  <c r="R10" i="1"/>
  <c r="O11" i="1"/>
  <c r="P11" i="1"/>
  <c r="Q11" i="1"/>
  <c r="R11" i="1"/>
  <c r="O12" i="1"/>
  <c r="P12" i="1"/>
  <c r="Q12" i="1"/>
  <c r="O13" i="1"/>
  <c r="P13" i="1"/>
  <c r="Q13" i="1"/>
  <c r="R13" i="1"/>
  <c r="O14" i="1"/>
  <c r="P14" i="1"/>
  <c r="Q14" i="1"/>
  <c r="R14" i="1"/>
  <c r="O15" i="1"/>
  <c r="P15" i="1"/>
  <c r="Q15" i="1"/>
  <c r="R15" i="1"/>
  <c r="O16" i="1"/>
  <c r="P16" i="1"/>
  <c r="Q16" i="1"/>
  <c r="R16" i="1"/>
  <c r="O17" i="1"/>
  <c r="P17" i="1"/>
  <c r="Q17" i="1"/>
  <c r="R17" i="1"/>
  <c r="O18" i="1"/>
  <c r="P18" i="1"/>
  <c r="Q18" i="1"/>
  <c r="R18" i="1"/>
  <c r="N12" i="1"/>
  <c r="N4" i="1"/>
  <c r="N5" i="1"/>
  <c r="N6" i="1"/>
  <c r="N7" i="1"/>
  <c r="N8" i="1"/>
  <c r="N9" i="1"/>
  <c r="N10" i="1"/>
  <c r="N11" i="1"/>
  <c r="N13" i="1"/>
  <c r="N14" i="1"/>
  <c r="N15" i="1"/>
  <c r="N16" i="1"/>
  <c r="N17" i="1"/>
  <c r="N18" i="1"/>
  <c r="O2" i="1"/>
  <c r="P2" i="1" s="1"/>
  <c r="Q2" i="1" s="1"/>
  <c r="R2" i="1" s="1"/>
  <c r="M18" i="1"/>
  <c r="L18" i="1"/>
  <c r="K18" i="1"/>
  <c r="M17" i="1"/>
  <c r="L17" i="1"/>
  <c r="K17" i="1"/>
  <c r="M16" i="1"/>
  <c r="L16" i="1"/>
  <c r="K16" i="1"/>
  <c r="M15" i="1"/>
  <c r="L15" i="1"/>
  <c r="K15" i="1"/>
  <c r="M14" i="1"/>
  <c r="L14" i="1"/>
  <c r="K14" i="1"/>
  <c r="M13" i="1"/>
  <c r="L13" i="1"/>
  <c r="K13" i="1"/>
  <c r="M12" i="1"/>
  <c r="L12" i="1"/>
  <c r="K12" i="1"/>
  <c r="M11" i="1"/>
  <c r="L11" i="1"/>
  <c r="K11" i="1"/>
  <c r="M10" i="1"/>
  <c r="L10" i="1"/>
  <c r="K10" i="1"/>
  <c r="M9" i="1"/>
  <c r="L9" i="1"/>
  <c r="K9" i="1"/>
  <c r="M8" i="1"/>
  <c r="L8" i="1"/>
  <c r="K8" i="1"/>
  <c r="M7" i="1"/>
  <c r="L7" i="1"/>
  <c r="K7" i="1"/>
  <c r="M6" i="1"/>
  <c r="L6" i="1"/>
  <c r="K6" i="1"/>
  <c r="M5" i="1"/>
  <c r="L5" i="1"/>
  <c r="K5" i="1"/>
  <c r="M4" i="1"/>
  <c r="L4" i="1"/>
  <c r="K4" i="1"/>
  <c r="M3" i="1"/>
  <c r="L3" i="1"/>
  <c r="K3" i="1"/>
  <c r="J18" i="1"/>
  <c r="J17" i="1"/>
  <c r="J16" i="1"/>
  <c r="J15" i="1"/>
  <c r="J14" i="1"/>
  <c r="J13" i="1"/>
  <c r="J12" i="1"/>
  <c r="J11" i="1"/>
  <c r="J10" i="1"/>
  <c r="J9" i="1"/>
  <c r="J8" i="1"/>
  <c r="J7" i="1"/>
  <c r="J6" i="1"/>
  <c r="J5" i="1"/>
  <c r="J4" i="1"/>
  <c r="J3" i="1"/>
  <c r="J2" i="1"/>
  <c r="K2" i="1" s="1"/>
  <c r="L2" i="1" s="1"/>
  <c r="M2" i="1" s="1"/>
  <c r="F22" i="1"/>
  <c r="G22" i="1"/>
  <c r="H22" i="1"/>
  <c r="F21" i="1"/>
  <c r="G21" i="1"/>
  <c r="H21" i="1"/>
  <c r="G20" i="1"/>
  <c r="H20" i="1"/>
  <c r="F20" i="1"/>
  <c r="E22" i="1"/>
  <c r="E21" i="1"/>
  <c r="E20" i="1"/>
  <c r="E2" i="1"/>
  <c r="F2" i="1" s="1"/>
  <c r="G2" i="1" s="1"/>
  <c r="H2" i="1" s="1"/>
  <c r="I3" i="1"/>
  <c r="I4" i="1"/>
  <c r="I5" i="1"/>
  <c r="I6" i="1"/>
  <c r="I7" i="1"/>
  <c r="I8" i="1"/>
  <c r="I9" i="1"/>
  <c r="I10" i="1"/>
  <c r="I11" i="1"/>
  <c r="I12" i="1"/>
  <c r="I13" i="1"/>
  <c r="I14" i="1"/>
  <c r="I15" i="1"/>
  <c r="I16" i="1"/>
  <c r="I17" i="1"/>
  <c r="I18" i="1"/>
  <c r="D21" i="1"/>
  <c r="D22" i="1"/>
  <c r="S22" i="1" l="1"/>
  <c r="S21" i="1"/>
  <c r="S20" i="1"/>
  <c r="O23" i="1"/>
  <c r="P23" i="1"/>
  <c r="N20" i="1"/>
  <c r="N21" i="1"/>
  <c r="O20" i="1"/>
  <c r="N22" i="1"/>
  <c r="N23" i="1"/>
  <c r="Q23" i="1"/>
  <c r="O22" i="1"/>
  <c r="P20" i="1"/>
  <c r="P22" i="1"/>
  <c r="Q20" i="1"/>
  <c r="Q22" i="1"/>
  <c r="R20" i="1"/>
  <c r="O21" i="1"/>
  <c r="P21" i="1"/>
  <c r="Q21"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ADMIN</author>
  </authors>
  <commentList>
    <comment ref="I3" authorId="0" shapeId="0" xr:uid="{851189FD-ACF1-4405-BEEA-7F7660EEB5E5}">
      <text>
        <r>
          <rPr>
            <b/>
            <sz val="9"/>
            <color indexed="81"/>
            <rFont val="Tahoma"/>
            <family val="2"/>
          </rPr>
          <t>ADMIN:</t>
        </r>
        <r>
          <rPr>
            <sz val="9"/>
            <color indexed="81"/>
            <rFont val="Tahoma"/>
            <family val="2"/>
          </rPr>
          <t xml:space="preserve">
</t>
        </r>
        <r>
          <rPr>
            <sz val="12"/>
            <color indexed="81"/>
            <rFont val="Tahoma"/>
            <family val="2"/>
          </rPr>
          <t>Condition value is the IF statement. 
If the value x&gt;40 ( then the answer of the value), x-40,0 ( If the value is less than 40 then it will be zero )
IF ( condition, value_if_true, value_if_false)</t>
        </r>
      </text>
    </comment>
    <comment ref="N3" authorId="0" shapeId="0" xr:uid="{6C5AA9EE-F662-4726-8F77-252BB09EA613}">
      <text>
        <r>
          <rPr>
            <b/>
            <sz val="9"/>
            <color indexed="81"/>
            <rFont val="Tahoma"/>
            <family val="2"/>
          </rPr>
          <t>ADMIN:</t>
        </r>
        <r>
          <rPr>
            <sz val="9"/>
            <color indexed="81"/>
            <rFont val="Tahoma"/>
            <family val="2"/>
          </rPr>
          <t xml:space="preserve">
</t>
        </r>
        <r>
          <rPr>
            <sz val="12"/>
            <color indexed="81"/>
            <rFont val="Tahoma"/>
            <family val="2"/>
          </rPr>
          <t xml:space="preserve">Here Absolute formula is used where the formula will not change if the cells are shifted. 
$C3*D3 , the $ is used to make it absolute , the Column C  will be same and be multiplied with the other column that is choosed
However, if $C3*$D3 both of the formula would have been intact and not changed even if the cells are changed.
On the other hand, in Reference fromula the formula shifts when the cells shift .
</t>
        </r>
      </text>
    </comment>
    <comment ref="S3" authorId="0" shapeId="0" xr:uid="{C6EFA32D-5E7B-48F2-A004-209BF2D37526}">
      <text>
        <r>
          <rPr>
            <b/>
            <sz val="9"/>
            <color indexed="81"/>
            <rFont val="Tahoma"/>
            <family val="2"/>
          </rPr>
          <t xml:space="preserve">ADMIN:
</t>
        </r>
        <r>
          <rPr>
            <sz val="9"/>
            <color indexed="81"/>
            <rFont val="Tahoma"/>
            <family val="2"/>
          </rPr>
          <t xml:space="preserve">
</t>
        </r>
        <r>
          <rPr>
            <sz val="12"/>
            <color indexed="81"/>
            <rFont val="Tahoma"/>
            <family val="2"/>
          </rPr>
          <t>Here the ( .5 ) means half of the salary form the real salary .</t>
        </r>
        <r>
          <rPr>
            <sz val="9"/>
            <color indexed="81"/>
            <rFont val="Tahoma"/>
            <family val="2"/>
          </rPr>
          <t xml:space="preserve">
</t>
        </r>
      </text>
    </comment>
  </commentList>
</comments>
</file>

<file path=xl/sharedStrings.xml><?xml version="1.0" encoding="utf-8"?>
<sst xmlns="http://schemas.openxmlformats.org/spreadsheetml/2006/main" count="47" uniqueCount="44">
  <si>
    <t>Employee Payroll</t>
  </si>
  <si>
    <t>Hourly Wage</t>
  </si>
  <si>
    <t xml:space="preserve">Hours Worked </t>
  </si>
  <si>
    <t>Pay</t>
  </si>
  <si>
    <t xml:space="preserve">First Name </t>
  </si>
  <si>
    <t>Last Name</t>
  </si>
  <si>
    <t xml:space="preserve">Tadashi </t>
  </si>
  <si>
    <t>Hamada</t>
  </si>
  <si>
    <t xml:space="preserve">Hero </t>
  </si>
  <si>
    <t>Voalt</t>
  </si>
  <si>
    <t>Awi</t>
  </si>
  <si>
    <t xml:space="preserve">Lui </t>
  </si>
  <si>
    <t>Shirosagi</t>
  </si>
  <si>
    <t xml:space="preserve">Shu </t>
  </si>
  <si>
    <t>Kuronai</t>
  </si>
  <si>
    <t>Song</t>
  </si>
  <si>
    <t>Kang</t>
  </si>
  <si>
    <t xml:space="preserve">Lee </t>
  </si>
  <si>
    <t>Minho</t>
  </si>
  <si>
    <t>DoHyun</t>
  </si>
  <si>
    <t>Go</t>
  </si>
  <si>
    <t>Eunhyeok</t>
  </si>
  <si>
    <t>Beiming</t>
  </si>
  <si>
    <t>Ye</t>
  </si>
  <si>
    <t xml:space="preserve">Salman </t>
  </si>
  <si>
    <t>Khan</t>
  </si>
  <si>
    <t xml:space="preserve">Ritesh </t>
  </si>
  <si>
    <t>Deshmuk</t>
  </si>
  <si>
    <t>Chris</t>
  </si>
  <si>
    <t>Hemsworth</t>
  </si>
  <si>
    <t>Robert</t>
  </si>
  <si>
    <t>Downey</t>
  </si>
  <si>
    <t xml:space="preserve">Johnny </t>
  </si>
  <si>
    <t>Deep</t>
  </si>
  <si>
    <t>Sadia Hossain</t>
  </si>
  <si>
    <t>Liya</t>
  </si>
  <si>
    <t>Minimum</t>
  </si>
  <si>
    <t>Maximum</t>
  </si>
  <si>
    <t>Average</t>
  </si>
  <si>
    <t>Total Pay</t>
  </si>
  <si>
    <t>Overtime Hours</t>
  </si>
  <si>
    <t xml:space="preserve">Overtime Bonus </t>
  </si>
  <si>
    <t>April Pay</t>
  </si>
  <si>
    <t>Absolute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</si>
</sst>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quot;£&quot;* #,##0.00_-;_-&quot;£&quot;* &quot;-&quot;??_-;_-@_-"/>
    <numFmt numFmtId="164" formatCode="&quot;£&quot;#,##0.00"/>
  </numFmts>
  <fonts count="8" x14ac:knownFonts="1">
    <font>
      <sz val="11"/>
      <color theme="1"/>
      <name val="Aptos Narrow"/>
      <family val="2"/>
      <scheme val="minor"/>
    </font>
    <font>
      <sz val="11"/>
      <color theme="1"/>
      <name val="Aptos Narrow"/>
      <family val="2"/>
      <scheme val="minor"/>
    </font>
    <font>
      <sz val="9"/>
      <color indexed="81"/>
      <name val="Tahoma"/>
      <family val="2"/>
    </font>
    <font>
      <b/>
      <sz val="9"/>
      <color indexed="81"/>
      <name val="Tahoma"/>
      <family val="2"/>
    </font>
    <font>
      <b/>
      <sz val="11"/>
      <color theme="1"/>
      <name val="Aptos Narrow"/>
      <family val="2"/>
      <scheme val="minor"/>
    </font>
    <font>
      <sz val="12"/>
      <color indexed="81"/>
      <name val="Tahoma"/>
      <family val="2"/>
    </font>
    <font>
      <b/>
      <sz val="14"/>
      <color theme="1"/>
      <name val="Aptos Narrow"/>
      <family val="2"/>
      <scheme val="minor"/>
    </font>
    <font>
      <b/>
      <sz val="12"/>
      <color theme="1"/>
      <name val="Aptos Narrow"/>
      <family val="2"/>
      <scheme val="minor"/>
    </font>
  </fonts>
  <fills count="10">
    <fill>
      <patternFill patternType="none"/>
    </fill>
    <fill>
      <patternFill patternType="gray125"/>
    </fill>
    <fill>
      <patternFill patternType="solid">
        <fgColor theme="3" tint="0.89999084444715716"/>
        <bgColor indexed="64"/>
      </patternFill>
    </fill>
    <fill>
      <patternFill patternType="solid">
        <fgColor theme="5" tint="0.79998168889431442"/>
        <bgColor indexed="64"/>
      </patternFill>
    </fill>
    <fill>
      <patternFill patternType="solid">
        <fgColor theme="6" tint="0.39997558519241921"/>
        <bgColor indexed="64"/>
      </patternFill>
    </fill>
    <fill>
      <patternFill patternType="solid">
        <fgColor theme="6" tint="0.79998168889431442"/>
        <bgColor indexed="64"/>
      </patternFill>
    </fill>
    <fill>
      <patternFill patternType="solid">
        <fgColor rgb="FFFFFF66"/>
        <bgColor indexed="64"/>
      </patternFill>
    </fill>
    <fill>
      <patternFill patternType="solid">
        <fgColor theme="0"/>
        <bgColor indexed="64"/>
      </patternFill>
    </fill>
    <fill>
      <patternFill patternType="solid">
        <fgColor rgb="FFFFCC99"/>
        <bgColor indexed="64"/>
      </patternFill>
    </fill>
    <fill>
      <patternFill patternType="solid">
        <fgColor theme="0" tint="-0.249977111117893"/>
        <bgColor indexed="64"/>
      </patternFill>
    </fill>
  </fills>
  <borders count="1">
    <border>
      <left/>
      <right/>
      <top/>
      <bottom/>
      <diagonal/>
    </border>
  </borders>
  <cellStyleXfs count="2">
    <xf numFmtId="0" fontId="0" fillId="0" borderId="0"/>
    <xf numFmtId="44" fontId="1" fillId="0" borderId="0" applyFont="0" applyFill="0" applyBorder="0" applyAlignment="0" applyProtection="0"/>
  </cellStyleXfs>
  <cellXfs count="31">
    <xf numFmtId="0" fontId="0" fillId="0" borderId="0" xfId="0"/>
    <xf numFmtId="0" fontId="0" fillId="0" borderId="0" xfId="0" applyAlignment="1">
      <alignment horizontal="left"/>
    </xf>
    <xf numFmtId="0" fontId="0" fillId="6" borderId="0" xfId="0" applyFill="1" applyAlignment="1">
      <alignment horizontal="left"/>
    </xf>
    <xf numFmtId="0" fontId="0" fillId="2" borderId="0" xfId="0" applyFill="1" applyAlignment="1">
      <alignment horizontal="left"/>
    </xf>
    <xf numFmtId="0" fontId="0" fillId="3" borderId="0" xfId="0" applyFill="1" applyAlignment="1">
      <alignment horizontal="left"/>
    </xf>
    <xf numFmtId="0" fontId="0" fillId="5" borderId="0" xfId="0" applyFill="1" applyAlignment="1">
      <alignment horizontal="left"/>
    </xf>
    <xf numFmtId="0" fontId="0" fillId="8" borderId="0" xfId="0" applyFill="1" applyAlignment="1">
      <alignment horizontal="left"/>
    </xf>
    <xf numFmtId="0" fontId="0" fillId="9" borderId="0" xfId="0" applyFill="1" applyAlignment="1">
      <alignment horizontal="left"/>
    </xf>
    <xf numFmtId="14" fontId="0" fillId="2" borderId="0" xfId="0" applyNumberFormat="1" applyFill="1" applyAlignment="1">
      <alignment horizontal="left"/>
    </xf>
    <xf numFmtId="14" fontId="0" fillId="3" borderId="0" xfId="0" applyNumberFormat="1" applyFill="1" applyAlignment="1">
      <alignment horizontal="left"/>
    </xf>
    <xf numFmtId="14" fontId="0" fillId="5" borderId="0" xfId="0" applyNumberFormat="1" applyFill="1" applyAlignment="1">
      <alignment horizontal="left"/>
    </xf>
    <xf numFmtId="14" fontId="0" fillId="6" borderId="0" xfId="0" applyNumberFormat="1" applyFill="1" applyAlignment="1">
      <alignment horizontal="left"/>
    </xf>
    <xf numFmtId="14" fontId="0" fillId="8" borderId="0" xfId="0" applyNumberFormat="1" applyFill="1" applyAlignment="1">
      <alignment horizontal="left"/>
    </xf>
    <xf numFmtId="164" fontId="0" fillId="6" borderId="0" xfId="0" applyNumberFormat="1" applyFill="1" applyAlignment="1">
      <alignment horizontal="left"/>
    </xf>
    <xf numFmtId="164" fontId="0" fillId="5" borderId="0" xfId="0" applyNumberFormat="1" applyFill="1" applyAlignment="1">
      <alignment horizontal="left"/>
    </xf>
    <xf numFmtId="164" fontId="0" fillId="8" borderId="0" xfId="0" applyNumberFormat="1" applyFill="1" applyAlignment="1">
      <alignment horizontal="left"/>
    </xf>
    <xf numFmtId="164" fontId="0" fillId="9" borderId="0" xfId="0" applyNumberFormat="1" applyFill="1" applyAlignment="1">
      <alignment horizontal="left"/>
    </xf>
    <xf numFmtId="164" fontId="0" fillId="5" borderId="0" xfId="1" applyNumberFormat="1" applyFont="1" applyFill="1" applyBorder="1" applyAlignment="1">
      <alignment horizontal="left"/>
    </xf>
    <xf numFmtId="164" fontId="0" fillId="6" borderId="0" xfId="1" applyNumberFormat="1" applyFont="1" applyFill="1" applyBorder="1" applyAlignment="1">
      <alignment horizontal="left"/>
    </xf>
    <xf numFmtId="164" fontId="0" fillId="8" borderId="0" xfId="1" applyNumberFormat="1" applyFont="1" applyFill="1" applyBorder="1" applyAlignment="1">
      <alignment horizontal="left"/>
    </xf>
    <xf numFmtId="164" fontId="0" fillId="9" borderId="0" xfId="1" applyNumberFormat="1" applyFont="1" applyFill="1" applyBorder="1" applyAlignment="1">
      <alignment horizontal="left"/>
    </xf>
    <xf numFmtId="164" fontId="0" fillId="2" borderId="0" xfId="0" applyNumberFormat="1" applyFill="1" applyAlignment="1">
      <alignment horizontal="left"/>
    </xf>
    <xf numFmtId="0" fontId="0" fillId="7" borderId="0" xfId="0" applyFill="1" applyAlignment="1">
      <alignment horizontal="left"/>
    </xf>
    <xf numFmtId="0" fontId="0" fillId="3" borderId="0" xfId="0" applyFill="1" applyAlignment="1">
      <alignment horizontal="center"/>
    </xf>
    <xf numFmtId="0" fontId="6" fillId="3" borderId="0" xfId="0" applyFont="1" applyFill="1" applyAlignment="1">
      <alignment horizontal="center"/>
    </xf>
    <xf numFmtId="0" fontId="4" fillId="4" borderId="0" xfId="0" applyFont="1" applyFill="1" applyAlignment="1">
      <alignment horizontal="center"/>
    </xf>
    <xf numFmtId="0" fontId="6" fillId="5" borderId="0" xfId="0" applyFont="1" applyFill="1" applyAlignment="1">
      <alignment horizontal="center"/>
    </xf>
    <xf numFmtId="0" fontId="6" fillId="6" borderId="0" xfId="0" applyFont="1" applyFill="1" applyAlignment="1">
      <alignment horizontal="center"/>
    </xf>
    <xf numFmtId="0" fontId="7" fillId="8" borderId="0" xfId="0" applyFont="1" applyFill="1" applyAlignment="1">
      <alignment horizontal="center"/>
    </xf>
    <xf numFmtId="0" fontId="7" fillId="9" borderId="0" xfId="0" applyFont="1" applyFill="1" applyAlignment="1">
      <alignment horizontal="left"/>
    </xf>
    <xf numFmtId="0" fontId="6" fillId="2" borderId="0" xfId="0" applyFont="1" applyFill="1" applyAlignment="1">
      <alignment horizontal="center"/>
    </xf>
  </cellXfs>
  <cellStyles count="2">
    <cellStyle name="Currency" xfId="1" builtinId="4"/>
    <cellStyle name="Normal" xfId="0" builtinId="0"/>
  </cellStyles>
  <dxfs count="0"/>
  <tableStyles count="0" defaultTableStyle="TableStyleMedium2" defaultPivotStyle="PivotStyleLight16"/>
  <colors>
    <mruColors>
      <color rgb="FFFFCC99"/>
      <color rgb="FFFF9966"/>
      <color rgb="FFFF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8D5A6F-EAE1-4E48-8368-502FD5FBE999}">
  <sheetPr>
    <pageSetUpPr fitToPage="1"/>
  </sheetPr>
  <dimension ref="A1:AC23"/>
  <sheetViews>
    <sheetView tabSelected="1" zoomScale="85" zoomScaleNormal="85" workbookViewId="0">
      <pane xSplit="3" ySplit="2" topLeftCell="D6" activePane="bottomRight" state="frozen"/>
      <selection pane="topRight" activeCell="D1" sqref="D1"/>
      <selection pane="bottomLeft" activeCell="A3" sqref="A3"/>
      <selection pane="bottomRight" activeCell="I24" sqref="I24"/>
    </sheetView>
  </sheetViews>
  <sheetFormatPr defaultRowHeight="15" x14ac:dyDescent="0.25"/>
  <cols>
    <col min="1" max="1" width="16.28515625" style="1" customWidth="1"/>
    <col min="2" max="2" width="9.85546875" style="1" customWidth="1"/>
    <col min="3" max="3" width="12.28515625" style="22" customWidth="1"/>
    <col min="4" max="4" width="11.7109375" style="1" customWidth="1"/>
    <col min="5" max="5" width="10.7109375" style="1" customWidth="1"/>
    <col min="6" max="6" width="10.5703125" style="1" customWidth="1"/>
    <col min="7" max="8" width="12.28515625" style="1" customWidth="1"/>
    <col min="9" max="9" width="12.42578125" style="1" customWidth="1"/>
    <col min="10" max="10" width="11.85546875" style="1" customWidth="1"/>
    <col min="11" max="11" width="11.42578125" style="1" customWidth="1"/>
    <col min="12" max="12" width="12.42578125" style="1" customWidth="1"/>
    <col min="13" max="13" width="12.7109375" style="1" customWidth="1"/>
    <col min="14" max="14" width="13.85546875" style="1" customWidth="1"/>
    <col min="15" max="15" width="15.42578125" style="1" bestFit="1" customWidth="1"/>
    <col min="16" max="16" width="14.85546875" style="1" customWidth="1"/>
    <col min="17" max="17" width="15" style="1" customWidth="1"/>
    <col min="18" max="18" width="14.5703125" style="1" customWidth="1"/>
    <col min="19" max="19" width="12.5703125" style="1" customWidth="1"/>
    <col min="20" max="20" width="12.85546875" style="1" customWidth="1"/>
    <col min="21" max="21" width="14.42578125" style="1" customWidth="1"/>
    <col min="22" max="22" width="13.85546875" style="1" customWidth="1"/>
    <col min="23" max="23" width="13.28515625" style="1" customWidth="1"/>
    <col min="24" max="24" width="14.28515625" style="1" customWidth="1"/>
    <col min="25" max="25" width="13.28515625" style="1" customWidth="1"/>
    <col min="26" max="26" width="13.140625" style="1" customWidth="1"/>
    <col min="27" max="27" width="14.85546875" style="1" customWidth="1"/>
    <col min="28" max="28" width="15.85546875" style="1" customWidth="1"/>
    <col min="29" max="29" width="13" style="1" customWidth="1"/>
    <col min="30" max="16384" width="9.140625" style="1"/>
  </cols>
  <sheetData>
    <row r="1" spans="1:29" ht="18.75" x14ac:dyDescent="0.3">
      <c r="A1" s="25" t="s">
        <v>0</v>
      </c>
      <c r="B1" s="25"/>
      <c r="C1" s="2"/>
      <c r="D1" s="30" t="s">
        <v>2</v>
      </c>
      <c r="E1" s="30"/>
      <c r="F1" s="30"/>
      <c r="G1" s="30"/>
      <c r="H1" s="30"/>
      <c r="I1" s="24" t="s">
        <v>40</v>
      </c>
      <c r="J1" s="23"/>
      <c r="K1" s="23"/>
      <c r="L1" s="23"/>
      <c r="M1" s="23"/>
      <c r="N1" s="26" t="s">
        <v>3</v>
      </c>
      <c r="O1" s="26"/>
      <c r="P1" s="26"/>
      <c r="Q1" s="26"/>
      <c r="R1" s="26"/>
      <c r="S1" s="27" t="s">
        <v>41</v>
      </c>
      <c r="T1" s="27"/>
      <c r="U1" s="27"/>
      <c r="V1" s="27"/>
      <c r="W1" s="27"/>
      <c r="X1" s="28" t="s">
        <v>39</v>
      </c>
      <c r="Y1" s="28"/>
      <c r="Z1" s="28"/>
      <c r="AA1" s="28"/>
      <c r="AB1" s="28"/>
      <c r="AC1" s="29" t="s">
        <v>42</v>
      </c>
    </row>
    <row r="2" spans="1:29" x14ac:dyDescent="0.25">
      <c r="A2" s="1" t="s">
        <v>4</v>
      </c>
      <c r="B2" s="1" t="s">
        <v>5</v>
      </c>
      <c r="C2" s="2" t="s">
        <v>1</v>
      </c>
      <c r="D2" s="8">
        <v>45748</v>
      </c>
      <c r="E2" s="8">
        <f>D2+7</f>
        <v>45755</v>
      </c>
      <c r="F2" s="8">
        <f t="shared" ref="F2:H2" si="0">E2+7</f>
        <v>45762</v>
      </c>
      <c r="G2" s="8">
        <f t="shared" si="0"/>
        <v>45769</v>
      </c>
      <c r="H2" s="8">
        <f t="shared" si="0"/>
        <v>45776</v>
      </c>
      <c r="I2" s="9">
        <v>45748</v>
      </c>
      <c r="J2" s="9">
        <f>I2+7</f>
        <v>45755</v>
      </c>
      <c r="K2" s="9">
        <f t="shared" ref="K2:M2" si="1">J2+7</f>
        <v>45762</v>
      </c>
      <c r="L2" s="9">
        <f t="shared" si="1"/>
        <v>45769</v>
      </c>
      <c r="M2" s="9">
        <f t="shared" si="1"/>
        <v>45776</v>
      </c>
      <c r="N2" s="10">
        <v>45748</v>
      </c>
      <c r="O2" s="10">
        <f>N2+7</f>
        <v>45755</v>
      </c>
      <c r="P2" s="10">
        <f t="shared" ref="P2:R2" si="2">O2+7</f>
        <v>45762</v>
      </c>
      <c r="Q2" s="10">
        <f t="shared" si="2"/>
        <v>45769</v>
      </c>
      <c r="R2" s="10">
        <f t="shared" si="2"/>
        <v>45776</v>
      </c>
      <c r="S2" s="11">
        <v>45748</v>
      </c>
      <c r="T2" s="11">
        <f>S2+7</f>
        <v>45755</v>
      </c>
      <c r="U2" s="11">
        <f t="shared" ref="U2:V2" si="3">T2+7</f>
        <v>45762</v>
      </c>
      <c r="V2" s="11">
        <f t="shared" si="3"/>
        <v>45769</v>
      </c>
      <c r="W2" s="11">
        <f>V2+7</f>
        <v>45776</v>
      </c>
      <c r="X2" s="12">
        <v>45748</v>
      </c>
      <c r="Y2" s="12">
        <f>X2+7</f>
        <v>45755</v>
      </c>
      <c r="Z2" s="12">
        <f>Y2+7</f>
        <v>45762</v>
      </c>
      <c r="AA2" s="12">
        <f>Z2+7</f>
        <v>45769</v>
      </c>
      <c r="AB2" s="12">
        <f>AA2+7</f>
        <v>45776</v>
      </c>
      <c r="AC2" s="7" t="s">
        <v>43</v>
      </c>
    </row>
    <row r="3" spans="1:29" x14ac:dyDescent="0.25">
      <c r="A3" s="1" t="s">
        <v>6</v>
      </c>
      <c r="B3" s="1" t="s">
        <v>7</v>
      </c>
      <c r="C3" s="13">
        <v>15</v>
      </c>
      <c r="D3" s="3">
        <v>49</v>
      </c>
      <c r="E3" s="3">
        <v>40</v>
      </c>
      <c r="F3" s="3">
        <v>40</v>
      </c>
      <c r="G3" s="3">
        <v>40</v>
      </c>
      <c r="H3" s="3">
        <v>40</v>
      </c>
      <c r="I3" s="4">
        <f t="shared" ref="I3:I18" si="4">IF(D3&gt;40,D3-40,0)</f>
        <v>9</v>
      </c>
      <c r="J3" s="4">
        <f t="shared" ref="J3:J18" si="5">IF(E3&gt;40,E3-40,0)</f>
        <v>0</v>
      </c>
      <c r="K3" s="4">
        <f t="shared" ref="K3:M18" si="6">IF(F3&gt;40,F3-40,0)</f>
        <v>0</v>
      </c>
      <c r="L3" s="4">
        <f t="shared" si="6"/>
        <v>0</v>
      </c>
      <c r="M3" s="4">
        <f t="shared" si="6"/>
        <v>0</v>
      </c>
      <c r="N3" s="14">
        <f>$C3*D3</f>
        <v>735</v>
      </c>
      <c r="O3" s="14">
        <f t="shared" ref="O3:R18" si="7">$C3*E3</f>
        <v>600</v>
      </c>
      <c r="P3" s="14">
        <f t="shared" si="7"/>
        <v>600</v>
      </c>
      <c r="Q3" s="14">
        <f t="shared" si="7"/>
        <v>600</v>
      </c>
      <c r="R3" s="14">
        <f t="shared" si="7"/>
        <v>600</v>
      </c>
      <c r="S3" s="13">
        <f>0.5*$C3*I3</f>
        <v>67.5</v>
      </c>
      <c r="T3" s="13">
        <f t="shared" ref="T3:W18" si="8">0.5*$C3*J3</f>
        <v>0</v>
      </c>
      <c r="U3" s="13">
        <f t="shared" si="8"/>
        <v>0</v>
      </c>
      <c r="V3" s="13">
        <f t="shared" si="8"/>
        <v>0</v>
      </c>
      <c r="W3" s="13">
        <f t="shared" si="8"/>
        <v>0</v>
      </c>
      <c r="X3" s="15">
        <f>SUM(N3+S3)</f>
        <v>802.5</v>
      </c>
      <c r="Y3" s="15">
        <f t="shared" ref="Y3:AB3" si="9">SUM(O3+T3)</f>
        <v>600</v>
      </c>
      <c r="Z3" s="15">
        <f t="shared" si="9"/>
        <v>600</v>
      </c>
      <c r="AA3" s="15">
        <f t="shared" si="9"/>
        <v>600</v>
      </c>
      <c r="AB3" s="15">
        <f t="shared" si="9"/>
        <v>600</v>
      </c>
      <c r="AC3" s="16">
        <f>SUM(X3:AB3)</f>
        <v>3202.5</v>
      </c>
    </row>
    <row r="4" spans="1:29" x14ac:dyDescent="0.25">
      <c r="A4" s="1" t="s">
        <v>8</v>
      </c>
      <c r="B4" s="1" t="s">
        <v>7</v>
      </c>
      <c r="C4" s="13">
        <v>11</v>
      </c>
      <c r="D4" s="3">
        <v>30</v>
      </c>
      <c r="E4" s="3">
        <v>34</v>
      </c>
      <c r="F4" s="3">
        <v>34</v>
      </c>
      <c r="G4" s="3">
        <v>34</v>
      </c>
      <c r="H4" s="3">
        <v>34</v>
      </c>
      <c r="I4" s="4">
        <f t="shared" si="4"/>
        <v>0</v>
      </c>
      <c r="J4" s="4">
        <f t="shared" si="5"/>
        <v>0</v>
      </c>
      <c r="K4" s="4">
        <f t="shared" si="6"/>
        <v>0</v>
      </c>
      <c r="L4" s="4">
        <f t="shared" si="6"/>
        <v>0</v>
      </c>
      <c r="M4" s="4">
        <f t="shared" si="6"/>
        <v>0</v>
      </c>
      <c r="N4" s="14">
        <f t="shared" ref="N4:N18" si="10">$C4*D4</f>
        <v>330</v>
      </c>
      <c r="O4" s="14">
        <f t="shared" si="7"/>
        <v>374</v>
      </c>
      <c r="P4" s="14">
        <f t="shared" si="7"/>
        <v>374</v>
      </c>
      <c r="Q4" s="14">
        <f t="shared" si="7"/>
        <v>374</v>
      </c>
      <c r="R4" s="14">
        <f t="shared" si="7"/>
        <v>374</v>
      </c>
      <c r="S4" s="13">
        <f t="shared" ref="S4:S18" si="11">0.5*$C4*I4</f>
        <v>0</v>
      </c>
      <c r="T4" s="13">
        <f t="shared" si="8"/>
        <v>0</v>
      </c>
      <c r="U4" s="13">
        <f t="shared" si="8"/>
        <v>0</v>
      </c>
      <c r="V4" s="13">
        <f t="shared" si="8"/>
        <v>0</v>
      </c>
      <c r="W4" s="13">
        <f t="shared" si="8"/>
        <v>0</v>
      </c>
      <c r="X4" s="15">
        <f t="shared" ref="X4:X18" si="12">SUM(N4+S4)</f>
        <v>330</v>
      </c>
      <c r="Y4" s="15">
        <f t="shared" ref="Y4:Y18" si="13">SUM(O4+T4)</f>
        <v>374</v>
      </c>
      <c r="Z4" s="15">
        <f t="shared" ref="Z4:Z18" si="14">SUM(P4+U4)</f>
        <v>374</v>
      </c>
      <c r="AA4" s="15">
        <f t="shared" ref="AA4:AA18" si="15">SUM(Q4+V4)</f>
        <v>374</v>
      </c>
      <c r="AB4" s="15">
        <f t="shared" ref="AB4:AB18" si="16">SUM(R4+W4)</f>
        <v>374</v>
      </c>
      <c r="AC4" s="16">
        <f t="shared" ref="AC4:AC18" si="17">SUM(X4:AB4)</f>
        <v>1826</v>
      </c>
    </row>
    <row r="5" spans="1:29" x14ac:dyDescent="0.25">
      <c r="A5" s="1" t="s">
        <v>9</v>
      </c>
      <c r="B5" s="1" t="s">
        <v>10</v>
      </c>
      <c r="C5" s="13">
        <v>12</v>
      </c>
      <c r="D5" s="3">
        <v>35</v>
      </c>
      <c r="E5" s="3">
        <v>12</v>
      </c>
      <c r="F5" s="3">
        <v>12</v>
      </c>
      <c r="G5" s="3">
        <v>12</v>
      </c>
      <c r="H5" s="3">
        <v>12</v>
      </c>
      <c r="I5" s="4">
        <f t="shared" si="4"/>
        <v>0</v>
      </c>
      <c r="J5" s="4">
        <f t="shared" si="5"/>
        <v>0</v>
      </c>
      <c r="K5" s="4">
        <f t="shared" si="6"/>
        <v>0</v>
      </c>
      <c r="L5" s="4">
        <f t="shared" si="6"/>
        <v>0</v>
      </c>
      <c r="M5" s="4">
        <f t="shared" si="6"/>
        <v>0</v>
      </c>
      <c r="N5" s="14">
        <f t="shared" si="10"/>
        <v>420</v>
      </c>
      <c r="O5" s="14">
        <f t="shared" si="7"/>
        <v>144</v>
      </c>
      <c r="P5" s="14">
        <f t="shared" si="7"/>
        <v>144</v>
      </c>
      <c r="Q5" s="14">
        <f t="shared" si="7"/>
        <v>144</v>
      </c>
      <c r="R5" s="14">
        <f t="shared" si="7"/>
        <v>144</v>
      </c>
      <c r="S5" s="13">
        <f t="shared" si="11"/>
        <v>0</v>
      </c>
      <c r="T5" s="13">
        <f t="shared" si="8"/>
        <v>0</v>
      </c>
      <c r="U5" s="13">
        <f t="shared" si="8"/>
        <v>0</v>
      </c>
      <c r="V5" s="13">
        <f t="shared" si="8"/>
        <v>0</v>
      </c>
      <c r="W5" s="13">
        <f t="shared" si="8"/>
        <v>0</v>
      </c>
      <c r="X5" s="15">
        <f t="shared" si="12"/>
        <v>420</v>
      </c>
      <c r="Y5" s="15">
        <f t="shared" si="13"/>
        <v>144</v>
      </c>
      <c r="Z5" s="15">
        <f t="shared" si="14"/>
        <v>144</v>
      </c>
      <c r="AA5" s="15">
        <f t="shared" si="15"/>
        <v>144</v>
      </c>
      <c r="AB5" s="15">
        <f t="shared" si="16"/>
        <v>144</v>
      </c>
      <c r="AC5" s="16">
        <f t="shared" si="17"/>
        <v>996</v>
      </c>
    </row>
    <row r="6" spans="1:29" x14ac:dyDescent="0.25">
      <c r="A6" s="1" t="s">
        <v>11</v>
      </c>
      <c r="B6" s="1" t="s">
        <v>12</v>
      </c>
      <c r="C6" s="13">
        <v>15</v>
      </c>
      <c r="D6" s="3">
        <v>35</v>
      </c>
      <c r="E6" s="3">
        <v>23</v>
      </c>
      <c r="F6" s="3">
        <v>23</v>
      </c>
      <c r="G6" s="3">
        <v>23</v>
      </c>
      <c r="H6" s="3">
        <v>23</v>
      </c>
      <c r="I6" s="4">
        <f t="shared" si="4"/>
        <v>0</v>
      </c>
      <c r="J6" s="4">
        <f t="shared" si="5"/>
        <v>0</v>
      </c>
      <c r="K6" s="4">
        <f t="shared" si="6"/>
        <v>0</v>
      </c>
      <c r="L6" s="4">
        <f t="shared" si="6"/>
        <v>0</v>
      </c>
      <c r="M6" s="4">
        <f t="shared" si="6"/>
        <v>0</v>
      </c>
      <c r="N6" s="14">
        <f t="shared" si="10"/>
        <v>525</v>
      </c>
      <c r="O6" s="14">
        <f t="shared" si="7"/>
        <v>345</v>
      </c>
      <c r="P6" s="14">
        <f>$C6*F6</f>
        <v>345</v>
      </c>
      <c r="Q6" s="14">
        <f t="shared" si="7"/>
        <v>345</v>
      </c>
      <c r="R6" s="14">
        <f t="shared" si="7"/>
        <v>345</v>
      </c>
      <c r="S6" s="13">
        <f t="shared" si="11"/>
        <v>0</v>
      </c>
      <c r="T6" s="13">
        <f t="shared" si="8"/>
        <v>0</v>
      </c>
      <c r="U6" s="13">
        <f t="shared" si="8"/>
        <v>0</v>
      </c>
      <c r="V6" s="13">
        <f t="shared" si="8"/>
        <v>0</v>
      </c>
      <c r="W6" s="13">
        <f t="shared" si="8"/>
        <v>0</v>
      </c>
      <c r="X6" s="15">
        <f t="shared" si="12"/>
        <v>525</v>
      </c>
      <c r="Y6" s="15">
        <f t="shared" si="13"/>
        <v>345</v>
      </c>
      <c r="Z6" s="15">
        <f t="shared" si="14"/>
        <v>345</v>
      </c>
      <c r="AA6" s="15">
        <f t="shared" si="15"/>
        <v>345</v>
      </c>
      <c r="AB6" s="15">
        <f t="shared" si="16"/>
        <v>345</v>
      </c>
      <c r="AC6" s="16">
        <f t="shared" si="17"/>
        <v>1905</v>
      </c>
    </row>
    <row r="7" spans="1:29" x14ac:dyDescent="0.25">
      <c r="A7" s="1" t="s">
        <v>13</v>
      </c>
      <c r="B7" s="1" t="s">
        <v>14</v>
      </c>
      <c r="C7" s="13">
        <v>23</v>
      </c>
      <c r="D7" s="3">
        <v>65</v>
      </c>
      <c r="E7" s="3">
        <v>35</v>
      </c>
      <c r="F7" s="3">
        <v>35</v>
      </c>
      <c r="G7" s="3">
        <v>35</v>
      </c>
      <c r="H7" s="3">
        <v>35</v>
      </c>
      <c r="I7" s="4">
        <f t="shared" si="4"/>
        <v>25</v>
      </c>
      <c r="J7" s="4">
        <f t="shared" si="5"/>
        <v>0</v>
      </c>
      <c r="K7" s="4">
        <f t="shared" si="6"/>
        <v>0</v>
      </c>
      <c r="L7" s="4">
        <f t="shared" si="6"/>
        <v>0</v>
      </c>
      <c r="M7" s="4">
        <f t="shared" si="6"/>
        <v>0</v>
      </c>
      <c r="N7" s="14">
        <f t="shared" si="10"/>
        <v>1495</v>
      </c>
      <c r="O7" s="14">
        <f>$C7*E7</f>
        <v>805</v>
      </c>
      <c r="P7" s="14">
        <f t="shared" si="7"/>
        <v>805</v>
      </c>
      <c r="Q7" s="14">
        <f t="shared" si="7"/>
        <v>805</v>
      </c>
      <c r="R7" s="14">
        <f t="shared" si="7"/>
        <v>805</v>
      </c>
      <c r="S7" s="13">
        <f>0.5*$C7*I7</f>
        <v>287.5</v>
      </c>
      <c r="T7" s="13">
        <f t="shared" si="8"/>
        <v>0</v>
      </c>
      <c r="U7" s="13">
        <f t="shared" si="8"/>
        <v>0</v>
      </c>
      <c r="V7" s="13">
        <f t="shared" si="8"/>
        <v>0</v>
      </c>
      <c r="W7" s="13">
        <f t="shared" si="8"/>
        <v>0</v>
      </c>
      <c r="X7" s="15">
        <f t="shared" si="12"/>
        <v>1782.5</v>
      </c>
      <c r="Y7" s="15">
        <f t="shared" si="13"/>
        <v>805</v>
      </c>
      <c r="Z7" s="15">
        <f t="shared" si="14"/>
        <v>805</v>
      </c>
      <c r="AA7" s="15">
        <f t="shared" si="15"/>
        <v>805</v>
      </c>
      <c r="AB7" s="15">
        <f t="shared" si="16"/>
        <v>805</v>
      </c>
      <c r="AC7" s="16">
        <f t="shared" si="17"/>
        <v>5002.5</v>
      </c>
    </row>
    <row r="8" spans="1:29" x14ac:dyDescent="0.25">
      <c r="A8" s="1" t="s">
        <v>15</v>
      </c>
      <c r="B8" s="1" t="s">
        <v>16</v>
      </c>
      <c r="C8" s="13">
        <v>34</v>
      </c>
      <c r="D8" s="3">
        <v>38</v>
      </c>
      <c r="E8" s="3">
        <v>5</v>
      </c>
      <c r="F8" s="3">
        <v>75</v>
      </c>
      <c r="G8" s="3">
        <v>15</v>
      </c>
      <c r="H8" s="3">
        <v>45</v>
      </c>
      <c r="I8" s="4">
        <f t="shared" si="4"/>
        <v>0</v>
      </c>
      <c r="J8" s="4">
        <f t="shared" si="5"/>
        <v>0</v>
      </c>
      <c r="K8" s="4">
        <f t="shared" si="6"/>
        <v>35</v>
      </c>
      <c r="L8" s="4">
        <f t="shared" si="6"/>
        <v>0</v>
      </c>
      <c r="M8" s="4">
        <f t="shared" si="6"/>
        <v>5</v>
      </c>
      <c r="N8" s="14">
        <f t="shared" si="10"/>
        <v>1292</v>
      </c>
      <c r="O8" s="14">
        <f t="shared" si="7"/>
        <v>170</v>
      </c>
      <c r="P8" s="14">
        <f t="shared" si="7"/>
        <v>2550</v>
      </c>
      <c r="Q8" s="14">
        <f t="shared" si="7"/>
        <v>510</v>
      </c>
      <c r="R8" s="14">
        <f t="shared" si="7"/>
        <v>1530</v>
      </c>
      <c r="S8" s="13">
        <f t="shared" si="11"/>
        <v>0</v>
      </c>
      <c r="T8" s="13">
        <f t="shared" si="8"/>
        <v>0</v>
      </c>
      <c r="U8" s="13">
        <f t="shared" si="8"/>
        <v>595</v>
      </c>
      <c r="V8" s="13">
        <f t="shared" si="8"/>
        <v>0</v>
      </c>
      <c r="W8" s="13">
        <f t="shared" si="8"/>
        <v>85</v>
      </c>
      <c r="X8" s="15">
        <f t="shared" si="12"/>
        <v>1292</v>
      </c>
      <c r="Y8" s="15">
        <f t="shared" si="13"/>
        <v>170</v>
      </c>
      <c r="Z8" s="15">
        <f t="shared" si="14"/>
        <v>3145</v>
      </c>
      <c r="AA8" s="15">
        <f t="shared" si="15"/>
        <v>510</v>
      </c>
      <c r="AB8" s="15">
        <f t="shared" si="16"/>
        <v>1615</v>
      </c>
      <c r="AC8" s="16">
        <f t="shared" si="17"/>
        <v>6732</v>
      </c>
    </row>
    <row r="9" spans="1:29" x14ac:dyDescent="0.25">
      <c r="A9" s="1" t="s">
        <v>17</v>
      </c>
      <c r="B9" s="1" t="s">
        <v>18</v>
      </c>
      <c r="C9" s="13">
        <v>56</v>
      </c>
      <c r="D9" s="3">
        <v>45</v>
      </c>
      <c r="E9" s="3">
        <v>67</v>
      </c>
      <c r="F9" s="3">
        <v>67</v>
      </c>
      <c r="G9" s="3">
        <v>97</v>
      </c>
      <c r="H9" s="3">
        <v>67</v>
      </c>
      <c r="I9" s="4">
        <f t="shared" si="4"/>
        <v>5</v>
      </c>
      <c r="J9" s="4">
        <f t="shared" si="5"/>
        <v>27</v>
      </c>
      <c r="K9" s="4">
        <f t="shared" si="6"/>
        <v>27</v>
      </c>
      <c r="L9" s="4">
        <f t="shared" si="6"/>
        <v>57</v>
      </c>
      <c r="M9" s="4">
        <f t="shared" si="6"/>
        <v>27</v>
      </c>
      <c r="N9" s="14">
        <f t="shared" si="10"/>
        <v>2520</v>
      </c>
      <c r="O9" s="14">
        <f t="shared" si="7"/>
        <v>3752</v>
      </c>
      <c r="P9" s="14">
        <f t="shared" si="7"/>
        <v>3752</v>
      </c>
      <c r="Q9" s="14">
        <f t="shared" si="7"/>
        <v>5432</v>
      </c>
      <c r="R9" s="14">
        <f t="shared" si="7"/>
        <v>3752</v>
      </c>
      <c r="S9" s="13">
        <f t="shared" si="11"/>
        <v>140</v>
      </c>
      <c r="T9" s="13">
        <f t="shared" si="8"/>
        <v>756</v>
      </c>
      <c r="U9" s="13">
        <f t="shared" si="8"/>
        <v>756</v>
      </c>
      <c r="V9" s="13">
        <f t="shared" si="8"/>
        <v>1596</v>
      </c>
      <c r="W9" s="13">
        <f t="shared" si="8"/>
        <v>756</v>
      </c>
      <c r="X9" s="15">
        <f t="shared" si="12"/>
        <v>2660</v>
      </c>
      <c r="Y9" s="15">
        <f t="shared" si="13"/>
        <v>4508</v>
      </c>
      <c r="Z9" s="15">
        <f t="shared" si="14"/>
        <v>4508</v>
      </c>
      <c r="AA9" s="15">
        <f t="shared" si="15"/>
        <v>7028</v>
      </c>
      <c r="AB9" s="15">
        <f t="shared" si="16"/>
        <v>4508</v>
      </c>
      <c r="AC9" s="16">
        <f t="shared" si="17"/>
        <v>23212</v>
      </c>
    </row>
    <row r="10" spans="1:29" x14ac:dyDescent="0.25">
      <c r="A10" s="1" t="s">
        <v>17</v>
      </c>
      <c r="B10" s="1" t="s">
        <v>19</v>
      </c>
      <c r="C10" s="13">
        <v>43</v>
      </c>
      <c r="D10" s="3">
        <v>22</v>
      </c>
      <c r="E10" s="3">
        <v>12</v>
      </c>
      <c r="F10" s="3">
        <v>19</v>
      </c>
      <c r="G10" s="3">
        <v>32</v>
      </c>
      <c r="H10" s="3">
        <v>50</v>
      </c>
      <c r="I10" s="4">
        <f t="shared" si="4"/>
        <v>0</v>
      </c>
      <c r="J10" s="4">
        <f t="shared" si="5"/>
        <v>0</v>
      </c>
      <c r="K10" s="4">
        <f t="shared" si="6"/>
        <v>0</v>
      </c>
      <c r="L10" s="4">
        <f t="shared" si="6"/>
        <v>0</v>
      </c>
      <c r="M10" s="4">
        <f t="shared" si="6"/>
        <v>10</v>
      </c>
      <c r="N10" s="14">
        <f t="shared" si="10"/>
        <v>946</v>
      </c>
      <c r="O10" s="14">
        <f t="shared" si="7"/>
        <v>516</v>
      </c>
      <c r="P10" s="14">
        <f t="shared" si="7"/>
        <v>817</v>
      </c>
      <c r="Q10" s="14">
        <f t="shared" si="7"/>
        <v>1376</v>
      </c>
      <c r="R10" s="14">
        <f t="shared" si="7"/>
        <v>2150</v>
      </c>
      <c r="S10" s="13">
        <f t="shared" si="11"/>
        <v>0</v>
      </c>
      <c r="T10" s="13">
        <f t="shared" si="8"/>
        <v>0</v>
      </c>
      <c r="U10" s="13">
        <f t="shared" si="8"/>
        <v>0</v>
      </c>
      <c r="V10" s="13">
        <f t="shared" si="8"/>
        <v>0</v>
      </c>
      <c r="W10" s="13">
        <f t="shared" si="8"/>
        <v>215</v>
      </c>
      <c r="X10" s="15">
        <f t="shared" si="12"/>
        <v>946</v>
      </c>
      <c r="Y10" s="15">
        <f t="shared" si="13"/>
        <v>516</v>
      </c>
      <c r="Z10" s="15">
        <f t="shared" si="14"/>
        <v>817</v>
      </c>
      <c r="AA10" s="15">
        <f t="shared" si="15"/>
        <v>1376</v>
      </c>
      <c r="AB10" s="15">
        <f t="shared" si="16"/>
        <v>2365</v>
      </c>
      <c r="AC10" s="16">
        <f t="shared" si="17"/>
        <v>6020</v>
      </c>
    </row>
    <row r="11" spans="1:29" x14ac:dyDescent="0.25">
      <c r="A11" s="1" t="s">
        <v>20</v>
      </c>
      <c r="B11" s="1" t="s">
        <v>21</v>
      </c>
      <c r="C11" s="13">
        <v>24</v>
      </c>
      <c r="D11" s="3">
        <v>20</v>
      </c>
      <c r="E11" s="3">
        <v>19</v>
      </c>
      <c r="F11" s="3">
        <v>19</v>
      </c>
      <c r="G11" s="3">
        <v>79</v>
      </c>
      <c r="H11" s="3">
        <v>19</v>
      </c>
      <c r="I11" s="4">
        <f t="shared" si="4"/>
        <v>0</v>
      </c>
      <c r="J11" s="4">
        <f t="shared" si="5"/>
        <v>0</v>
      </c>
      <c r="K11" s="4">
        <f t="shared" si="6"/>
        <v>0</v>
      </c>
      <c r="L11" s="4">
        <f t="shared" si="6"/>
        <v>39</v>
      </c>
      <c r="M11" s="4">
        <f t="shared" si="6"/>
        <v>0</v>
      </c>
      <c r="N11" s="14">
        <f t="shared" si="10"/>
        <v>480</v>
      </c>
      <c r="O11" s="14">
        <f t="shared" si="7"/>
        <v>456</v>
      </c>
      <c r="P11" s="14">
        <f t="shared" si="7"/>
        <v>456</v>
      </c>
      <c r="Q11" s="14">
        <f t="shared" si="7"/>
        <v>1896</v>
      </c>
      <c r="R11" s="14">
        <f t="shared" si="7"/>
        <v>456</v>
      </c>
      <c r="S11" s="13">
        <f>0.5*$C11*I11</f>
        <v>0</v>
      </c>
      <c r="T11" s="13">
        <f t="shared" si="8"/>
        <v>0</v>
      </c>
      <c r="U11" s="13">
        <f t="shared" si="8"/>
        <v>0</v>
      </c>
      <c r="V11" s="13">
        <f t="shared" si="8"/>
        <v>468</v>
      </c>
      <c r="W11" s="13">
        <f t="shared" si="8"/>
        <v>0</v>
      </c>
      <c r="X11" s="15">
        <f>SUM(N11+S11)</f>
        <v>480</v>
      </c>
      <c r="Y11" s="15">
        <f t="shared" si="13"/>
        <v>456</v>
      </c>
      <c r="Z11" s="15">
        <f t="shared" si="14"/>
        <v>456</v>
      </c>
      <c r="AA11" s="15">
        <f t="shared" si="15"/>
        <v>2364</v>
      </c>
      <c r="AB11" s="15">
        <f>SUM(R11+W11)</f>
        <v>456</v>
      </c>
      <c r="AC11" s="16">
        <f t="shared" si="17"/>
        <v>4212</v>
      </c>
    </row>
    <row r="12" spans="1:29" x14ac:dyDescent="0.25">
      <c r="A12" s="1" t="s">
        <v>30</v>
      </c>
      <c r="B12" s="1" t="s">
        <v>31</v>
      </c>
      <c r="C12" s="13">
        <v>53</v>
      </c>
      <c r="D12" s="3">
        <v>10</v>
      </c>
      <c r="E12" s="3">
        <v>36</v>
      </c>
      <c r="F12" s="3">
        <v>36</v>
      </c>
      <c r="G12" s="3">
        <v>36</v>
      </c>
      <c r="H12" s="3">
        <v>96</v>
      </c>
      <c r="I12" s="4">
        <f t="shared" si="4"/>
        <v>0</v>
      </c>
      <c r="J12" s="4">
        <f t="shared" si="5"/>
        <v>0</v>
      </c>
      <c r="K12" s="4">
        <f t="shared" si="6"/>
        <v>0</v>
      </c>
      <c r="L12" s="4">
        <f t="shared" si="6"/>
        <v>0</v>
      </c>
      <c r="M12" s="4">
        <f t="shared" si="6"/>
        <v>56</v>
      </c>
      <c r="N12" s="14">
        <f>$C12*D12</f>
        <v>530</v>
      </c>
      <c r="O12" s="14">
        <f t="shared" si="7"/>
        <v>1908</v>
      </c>
      <c r="P12" s="14">
        <f t="shared" si="7"/>
        <v>1908</v>
      </c>
      <c r="Q12" s="14">
        <f t="shared" si="7"/>
        <v>1908</v>
      </c>
      <c r="R12" s="14">
        <f>$C12*H12</f>
        <v>5088</v>
      </c>
      <c r="S12" s="13">
        <f t="shared" si="11"/>
        <v>0</v>
      </c>
      <c r="T12" s="13">
        <f t="shared" si="8"/>
        <v>0</v>
      </c>
      <c r="U12" s="13">
        <f t="shared" si="8"/>
        <v>0</v>
      </c>
      <c r="V12" s="13">
        <f t="shared" si="8"/>
        <v>0</v>
      </c>
      <c r="W12" s="13">
        <f t="shared" si="8"/>
        <v>1484</v>
      </c>
      <c r="X12" s="15">
        <f t="shared" si="12"/>
        <v>530</v>
      </c>
      <c r="Y12" s="15">
        <f t="shared" si="13"/>
        <v>1908</v>
      </c>
      <c r="Z12" s="15">
        <f t="shared" si="14"/>
        <v>1908</v>
      </c>
      <c r="AA12" s="15">
        <f t="shared" si="15"/>
        <v>1908</v>
      </c>
      <c r="AB12" s="15">
        <f t="shared" si="16"/>
        <v>6572</v>
      </c>
      <c r="AC12" s="16">
        <f t="shared" si="17"/>
        <v>12826</v>
      </c>
    </row>
    <row r="13" spans="1:29" x14ac:dyDescent="0.25">
      <c r="A13" s="1" t="s">
        <v>32</v>
      </c>
      <c r="B13" s="1" t="s">
        <v>33</v>
      </c>
      <c r="C13" s="13">
        <v>35</v>
      </c>
      <c r="D13" s="3">
        <v>44</v>
      </c>
      <c r="E13" s="3">
        <v>30</v>
      </c>
      <c r="F13" s="3">
        <v>30</v>
      </c>
      <c r="G13" s="3">
        <v>30</v>
      </c>
      <c r="H13" s="3">
        <v>30</v>
      </c>
      <c r="I13" s="4">
        <f t="shared" si="4"/>
        <v>4</v>
      </c>
      <c r="J13" s="4">
        <f t="shared" si="5"/>
        <v>0</v>
      </c>
      <c r="K13" s="4">
        <f t="shared" si="6"/>
        <v>0</v>
      </c>
      <c r="L13" s="4">
        <f t="shared" si="6"/>
        <v>0</v>
      </c>
      <c r="M13" s="4">
        <f t="shared" si="6"/>
        <v>0</v>
      </c>
      <c r="N13" s="14">
        <f t="shared" si="10"/>
        <v>1540</v>
      </c>
      <c r="O13" s="14">
        <f t="shared" si="7"/>
        <v>1050</v>
      </c>
      <c r="P13" s="14">
        <f t="shared" si="7"/>
        <v>1050</v>
      </c>
      <c r="Q13" s="14">
        <f t="shared" si="7"/>
        <v>1050</v>
      </c>
      <c r="R13" s="14">
        <f t="shared" si="7"/>
        <v>1050</v>
      </c>
      <c r="S13" s="13">
        <f t="shared" si="11"/>
        <v>70</v>
      </c>
      <c r="T13" s="13">
        <f t="shared" si="8"/>
        <v>0</v>
      </c>
      <c r="U13" s="13">
        <f t="shared" si="8"/>
        <v>0</v>
      </c>
      <c r="V13" s="13">
        <f t="shared" si="8"/>
        <v>0</v>
      </c>
      <c r="W13" s="13">
        <f t="shared" si="8"/>
        <v>0</v>
      </c>
      <c r="X13" s="15">
        <f t="shared" si="12"/>
        <v>1610</v>
      </c>
      <c r="Y13" s="15">
        <f t="shared" si="13"/>
        <v>1050</v>
      </c>
      <c r="Z13" s="15">
        <f t="shared" si="14"/>
        <v>1050</v>
      </c>
      <c r="AA13" s="15">
        <f t="shared" si="15"/>
        <v>1050</v>
      </c>
      <c r="AB13" s="15">
        <f t="shared" si="16"/>
        <v>1050</v>
      </c>
      <c r="AC13" s="16">
        <f t="shared" si="17"/>
        <v>5810</v>
      </c>
    </row>
    <row r="14" spans="1:29" x14ac:dyDescent="0.25">
      <c r="A14" s="1" t="s">
        <v>28</v>
      </c>
      <c r="B14" s="1" t="s">
        <v>29</v>
      </c>
      <c r="C14" s="13">
        <v>253</v>
      </c>
      <c r="D14" s="3">
        <v>44</v>
      </c>
      <c r="E14" s="3">
        <v>37</v>
      </c>
      <c r="F14" s="3">
        <v>37</v>
      </c>
      <c r="G14" s="3">
        <v>37</v>
      </c>
      <c r="H14" s="3">
        <v>37</v>
      </c>
      <c r="I14" s="4">
        <f t="shared" si="4"/>
        <v>4</v>
      </c>
      <c r="J14" s="4">
        <f t="shared" si="5"/>
        <v>0</v>
      </c>
      <c r="K14" s="4">
        <f t="shared" si="6"/>
        <v>0</v>
      </c>
      <c r="L14" s="4">
        <f t="shared" si="6"/>
        <v>0</v>
      </c>
      <c r="M14" s="4">
        <f t="shared" si="6"/>
        <v>0</v>
      </c>
      <c r="N14" s="14">
        <f t="shared" si="10"/>
        <v>11132</v>
      </c>
      <c r="O14" s="14">
        <f t="shared" si="7"/>
        <v>9361</v>
      </c>
      <c r="P14" s="14">
        <f t="shared" si="7"/>
        <v>9361</v>
      </c>
      <c r="Q14" s="14">
        <f t="shared" si="7"/>
        <v>9361</v>
      </c>
      <c r="R14" s="14">
        <f t="shared" si="7"/>
        <v>9361</v>
      </c>
      <c r="S14" s="13">
        <f t="shared" si="11"/>
        <v>506</v>
      </c>
      <c r="T14" s="13">
        <f t="shared" si="8"/>
        <v>0</v>
      </c>
      <c r="U14" s="13">
        <f t="shared" si="8"/>
        <v>0</v>
      </c>
      <c r="V14" s="13">
        <f t="shared" si="8"/>
        <v>0</v>
      </c>
      <c r="W14" s="13">
        <f t="shared" si="8"/>
        <v>0</v>
      </c>
      <c r="X14" s="15">
        <f>SUM(N14+S14)</f>
        <v>11638</v>
      </c>
      <c r="Y14" s="15">
        <f t="shared" si="13"/>
        <v>9361</v>
      </c>
      <c r="Z14" s="15">
        <f t="shared" si="14"/>
        <v>9361</v>
      </c>
      <c r="AA14" s="15">
        <f>SUM(Q14+V14)</f>
        <v>9361</v>
      </c>
      <c r="AB14" s="15">
        <f t="shared" si="16"/>
        <v>9361</v>
      </c>
      <c r="AC14" s="16">
        <f t="shared" si="17"/>
        <v>49082</v>
      </c>
    </row>
    <row r="15" spans="1:29" x14ac:dyDescent="0.25">
      <c r="A15" s="1" t="s">
        <v>22</v>
      </c>
      <c r="B15" s="1" t="s">
        <v>23</v>
      </c>
      <c r="C15" s="13">
        <v>56</v>
      </c>
      <c r="D15" s="3">
        <v>30</v>
      </c>
      <c r="E15" s="3">
        <v>25</v>
      </c>
      <c r="F15" s="3">
        <v>25</v>
      </c>
      <c r="G15" s="3">
        <v>25</v>
      </c>
      <c r="H15" s="3">
        <v>25</v>
      </c>
      <c r="I15" s="4">
        <f t="shared" si="4"/>
        <v>0</v>
      </c>
      <c r="J15" s="4">
        <f t="shared" si="5"/>
        <v>0</v>
      </c>
      <c r="K15" s="4">
        <f t="shared" si="6"/>
        <v>0</v>
      </c>
      <c r="L15" s="4">
        <f t="shared" si="6"/>
        <v>0</v>
      </c>
      <c r="M15" s="4">
        <f t="shared" si="6"/>
        <v>0</v>
      </c>
      <c r="N15" s="14">
        <f t="shared" si="10"/>
        <v>1680</v>
      </c>
      <c r="O15" s="14">
        <f t="shared" si="7"/>
        <v>1400</v>
      </c>
      <c r="P15" s="14">
        <f t="shared" si="7"/>
        <v>1400</v>
      </c>
      <c r="Q15" s="14">
        <f t="shared" si="7"/>
        <v>1400</v>
      </c>
      <c r="R15" s="14">
        <f t="shared" si="7"/>
        <v>1400</v>
      </c>
      <c r="S15" s="13">
        <f t="shared" si="11"/>
        <v>0</v>
      </c>
      <c r="T15" s="13">
        <f t="shared" si="8"/>
        <v>0</v>
      </c>
      <c r="U15" s="13">
        <f t="shared" si="8"/>
        <v>0</v>
      </c>
      <c r="V15" s="13">
        <f t="shared" si="8"/>
        <v>0</v>
      </c>
      <c r="W15" s="13">
        <f t="shared" si="8"/>
        <v>0</v>
      </c>
      <c r="X15" s="15">
        <f t="shared" si="12"/>
        <v>1680</v>
      </c>
      <c r="Y15" s="15">
        <f t="shared" si="13"/>
        <v>1400</v>
      </c>
      <c r="Z15" s="15">
        <f>SUM(P15+U15)</f>
        <v>1400</v>
      </c>
      <c r="AA15" s="15">
        <f t="shared" si="15"/>
        <v>1400</v>
      </c>
      <c r="AB15" s="15">
        <f t="shared" si="16"/>
        <v>1400</v>
      </c>
      <c r="AC15" s="16">
        <f t="shared" si="17"/>
        <v>7280</v>
      </c>
    </row>
    <row r="16" spans="1:29" x14ac:dyDescent="0.25">
      <c r="A16" s="1" t="s">
        <v>24</v>
      </c>
      <c r="B16" s="1" t="s">
        <v>25</v>
      </c>
      <c r="C16" s="13">
        <v>66</v>
      </c>
      <c r="D16" s="3">
        <v>40</v>
      </c>
      <c r="E16" s="3">
        <v>41</v>
      </c>
      <c r="F16" s="3">
        <v>41</v>
      </c>
      <c r="G16" s="3">
        <v>41</v>
      </c>
      <c r="H16" s="3">
        <v>41</v>
      </c>
      <c r="I16" s="4">
        <f t="shared" si="4"/>
        <v>0</v>
      </c>
      <c r="J16" s="4">
        <f t="shared" si="5"/>
        <v>1</v>
      </c>
      <c r="K16" s="4">
        <f t="shared" si="6"/>
        <v>1</v>
      </c>
      <c r="L16" s="4">
        <f t="shared" si="6"/>
        <v>1</v>
      </c>
      <c r="M16" s="4">
        <f t="shared" si="6"/>
        <v>1</v>
      </c>
      <c r="N16" s="14">
        <f t="shared" si="10"/>
        <v>2640</v>
      </c>
      <c r="O16" s="14">
        <f t="shared" si="7"/>
        <v>2706</v>
      </c>
      <c r="P16" s="14">
        <f t="shared" si="7"/>
        <v>2706</v>
      </c>
      <c r="Q16" s="14">
        <f t="shared" si="7"/>
        <v>2706</v>
      </c>
      <c r="R16" s="14">
        <f t="shared" si="7"/>
        <v>2706</v>
      </c>
      <c r="S16" s="13">
        <f t="shared" si="11"/>
        <v>0</v>
      </c>
      <c r="T16" s="13">
        <f t="shared" si="8"/>
        <v>33</v>
      </c>
      <c r="U16" s="13">
        <f t="shared" si="8"/>
        <v>33</v>
      </c>
      <c r="V16" s="13">
        <f t="shared" si="8"/>
        <v>33</v>
      </c>
      <c r="W16" s="13">
        <f t="shared" si="8"/>
        <v>33</v>
      </c>
      <c r="X16" s="15">
        <f t="shared" si="12"/>
        <v>2640</v>
      </c>
      <c r="Y16" s="15">
        <f t="shared" si="13"/>
        <v>2739</v>
      </c>
      <c r="Z16" s="15">
        <f t="shared" si="14"/>
        <v>2739</v>
      </c>
      <c r="AA16" s="15">
        <f t="shared" si="15"/>
        <v>2739</v>
      </c>
      <c r="AB16" s="15">
        <f t="shared" si="16"/>
        <v>2739</v>
      </c>
      <c r="AC16" s="16">
        <f t="shared" si="17"/>
        <v>13596</v>
      </c>
    </row>
    <row r="17" spans="1:29" x14ac:dyDescent="0.25">
      <c r="A17" s="1" t="s">
        <v>26</v>
      </c>
      <c r="B17" s="1" t="s">
        <v>27</v>
      </c>
      <c r="C17" s="13">
        <v>66</v>
      </c>
      <c r="D17" s="3">
        <v>18</v>
      </c>
      <c r="E17" s="3">
        <v>44</v>
      </c>
      <c r="F17" s="3">
        <v>44</v>
      </c>
      <c r="G17" s="3">
        <v>44</v>
      </c>
      <c r="H17" s="3">
        <v>44</v>
      </c>
      <c r="I17" s="4">
        <f t="shared" si="4"/>
        <v>0</v>
      </c>
      <c r="J17" s="4">
        <f t="shared" si="5"/>
        <v>4</v>
      </c>
      <c r="K17" s="4">
        <f t="shared" si="6"/>
        <v>4</v>
      </c>
      <c r="L17" s="4">
        <f t="shared" si="6"/>
        <v>4</v>
      </c>
      <c r="M17" s="4">
        <f t="shared" si="6"/>
        <v>4</v>
      </c>
      <c r="N17" s="14">
        <f t="shared" si="10"/>
        <v>1188</v>
      </c>
      <c r="O17" s="14">
        <f t="shared" si="7"/>
        <v>2904</v>
      </c>
      <c r="P17" s="14">
        <f t="shared" si="7"/>
        <v>2904</v>
      </c>
      <c r="Q17" s="14">
        <f t="shared" si="7"/>
        <v>2904</v>
      </c>
      <c r="R17" s="14">
        <f t="shared" si="7"/>
        <v>2904</v>
      </c>
      <c r="S17" s="13">
        <f t="shared" si="11"/>
        <v>0</v>
      </c>
      <c r="T17" s="13">
        <f t="shared" si="8"/>
        <v>132</v>
      </c>
      <c r="U17" s="13">
        <f t="shared" si="8"/>
        <v>132</v>
      </c>
      <c r="V17" s="13">
        <f t="shared" si="8"/>
        <v>132</v>
      </c>
      <c r="W17" s="13">
        <f t="shared" si="8"/>
        <v>132</v>
      </c>
      <c r="X17" s="15">
        <f t="shared" si="12"/>
        <v>1188</v>
      </c>
      <c r="Y17" s="15">
        <f t="shared" si="13"/>
        <v>3036</v>
      </c>
      <c r="Z17" s="15">
        <f t="shared" si="14"/>
        <v>3036</v>
      </c>
      <c r="AA17" s="15">
        <f t="shared" si="15"/>
        <v>3036</v>
      </c>
      <c r="AB17" s="15">
        <f t="shared" si="16"/>
        <v>3036</v>
      </c>
      <c r="AC17" s="16">
        <f t="shared" si="17"/>
        <v>13332</v>
      </c>
    </row>
    <row r="18" spans="1:29" x14ac:dyDescent="0.25">
      <c r="A18" s="1" t="s">
        <v>34</v>
      </c>
      <c r="B18" s="1" t="s">
        <v>35</v>
      </c>
      <c r="C18" s="13">
        <v>300</v>
      </c>
      <c r="D18" s="3">
        <v>10</v>
      </c>
      <c r="E18" s="3">
        <v>33</v>
      </c>
      <c r="F18" s="3">
        <v>33</v>
      </c>
      <c r="G18" s="3">
        <v>33</v>
      </c>
      <c r="H18" s="3">
        <v>53</v>
      </c>
      <c r="I18" s="4">
        <f t="shared" si="4"/>
        <v>0</v>
      </c>
      <c r="J18" s="4">
        <f t="shared" si="5"/>
        <v>0</v>
      </c>
      <c r="K18" s="4">
        <f t="shared" si="6"/>
        <v>0</v>
      </c>
      <c r="L18" s="4">
        <f t="shared" si="6"/>
        <v>0</v>
      </c>
      <c r="M18" s="4">
        <f t="shared" si="6"/>
        <v>13</v>
      </c>
      <c r="N18" s="14">
        <f t="shared" si="10"/>
        <v>3000</v>
      </c>
      <c r="O18" s="14">
        <f t="shared" si="7"/>
        <v>9900</v>
      </c>
      <c r="P18" s="14">
        <f t="shared" si="7"/>
        <v>9900</v>
      </c>
      <c r="Q18" s="14">
        <f t="shared" si="7"/>
        <v>9900</v>
      </c>
      <c r="R18" s="14">
        <f t="shared" si="7"/>
        <v>15900</v>
      </c>
      <c r="S18" s="13">
        <f t="shared" si="11"/>
        <v>0</v>
      </c>
      <c r="T18" s="13">
        <f t="shared" si="8"/>
        <v>0</v>
      </c>
      <c r="U18" s="13">
        <f t="shared" si="8"/>
        <v>0</v>
      </c>
      <c r="V18" s="13">
        <f t="shared" si="8"/>
        <v>0</v>
      </c>
      <c r="W18" s="13">
        <f t="shared" si="8"/>
        <v>1950</v>
      </c>
      <c r="X18" s="15">
        <f t="shared" si="12"/>
        <v>3000</v>
      </c>
      <c r="Y18" s="15">
        <f t="shared" si="13"/>
        <v>9900</v>
      </c>
      <c r="Z18" s="15">
        <f t="shared" si="14"/>
        <v>9900</v>
      </c>
      <c r="AA18" s="15">
        <f t="shared" si="15"/>
        <v>9900</v>
      </c>
      <c r="AB18" s="15">
        <f t="shared" si="16"/>
        <v>17850</v>
      </c>
      <c r="AC18" s="16">
        <f>SUM(X18:AB18)</f>
        <v>50550</v>
      </c>
    </row>
    <row r="19" spans="1:29" x14ac:dyDescent="0.25">
      <c r="C19" s="2"/>
      <c r="D19" s="3"/>
      <c r="E19" s="3"/>
      <c r="F19" s="3"/>
      <c r="G19" s="3"/>
      <c r="H19" s="3"/>
      <c r="I19" s="4"/>
      <c r="J19" s="4"/>
      <c r="K19" s="4"/>
      <c r="L19" s="4"/>
      <c r="M19" s="4"/>
      <c r="N19" s="5"/>
      <c r="O19" s="5"/>
      <c r="P19" s="5"/>
      <c r="Q19" s="5"/>
      <c r="R19" s="5"/>
      <c r="S19" s="2"/>
      <c r="T19" s="2"/>
      <c r="U19" s="2"/>
      <c r="V19" s="2"/>
      <c r="W19" s="2"/>
      <c r="X19" s="6"/>
      <c r="Y19" s="6"/>
      <c r="Z19" s="6"/>
      <c r="AA19" s="6"/>
      <c r="AB19" s="6"/>
      <c r="AC19" s="7"/>
    </row>
    <row r="20" spans="1:29" x14ac:dyDescent="0.25">
      <c r="A20" s="1" t="s">
        <v>36</v>
      </c>
      <c r="C20" s="13">
        <f>MIN(C3:C18)</f>
        <v>11</v>
      </c>
      <c r="D20" s="3">
        <f>MIN(D3:D18)</f>
        <v>10</v>
      </c>
      <c r="E20" s="3">
        <f>MIN(E3:E18)</f>
        <v>5</v>
      </c>
      <c r="F20" s="3">
        <f>MIN(F3:F18)</f>
        <v>12</v>
      </c>
      <c r="G20" s="3">
        <f t="shared" ref="G20:H20" si="18">MIN(G3:G18)</f>
        <v>12</v>
      </c>
      <c r="H20" s="3">
        <f t="shared" si="18"/>
        <v>12</v>
      </c>
      <c r="I20" s="4"/>
      <c r="J20" s="4"/>
      <c r="K20" s="4"/>
      <c r="L20" s="4"/>
      <c r="M20" s="4"/>
      <c r="N20" s="17">
        <f>MIN(N3:N18)</f>
        <v>330</v>
      </c>
      <c r="O20" s="17">
        <f t="shared" ref="O20:R20" si="19">MIN(O3:O18)</f>
        <v>144</v>
      </c>
      <c r="P20" s="17">
        <f t="shared" si="19"/>
        <v>144</v>
      </c>
      <c r="Q20" s="17">
        <f t="shared" si="19"/>
        <v>144</v>
      </c>
      <c r="R20" s="17">
        <f t="shared" si="19"/>
        <v>144</v>
      </c>
      <c r="S20" s="18">
        <f t="shared" ref="S20:W20" si="20">MIN(S3:S18)</f>
        <v>0</v>
      </c>
      <c r="T20" s="18">
        <f t="shared" si="20"/>
        <v>0</v>
      </c>
      <c r="U20" s="18">
        <f t="shared" si="20"/>
        <v>0</v>
      </c>
      <c r="V20" s="18">
        <f t="shared" si="20"/>
        <v>0</v>
      </c>
      <c r="W20" s="18">
        <f>MIN(W3:W18)</f>
        <v>0</v>
      </c>
      <c r="X20" s="19">
        <f t="shared" ref="X20:AB20" si="21">MIN(X3:X18)</f>
        <v>330</v>
      </c>
      <c r="Y20" s="19">
        <f t="shared" si="21"/>
        <v>144</v>
      </c>
      <c r="Z20" s="19">
        <f t="shared" si="21"/>
        <v>144</v>
      </c>
      <c r="AA20" s="19">
        <f t="shared" si="21"/>
        <v>144</v>
      </c>
      <c r="AB20" s="19">
        <f t="shared" si="21"/>
        <v>144</v>
      </c>
      <c r="AC20" s="20">
        <f t="shared" ref="AC20" si="22">MIN(AC3:AC18)</f>
        <v>996</v>
      </c>
    </row>
    <row r="21" spans="1:29" x14ac:dyDescent="0.25">
      <c r="A21" s="1" t="s">
        <v>37</v>
      </c>
      <c r="C21" s="13">
        <f>MAX(C3:C18)</f>
        <v>300</v>
      </c>
      <c r="D21" s="3">
        <f>MAX(D3:D18)</f>
        <v>65</v>
      </c>
      <c r="E21" s="3">
        <f>MAX(E3:E18)</f>
        <v>67</v>
      </c>
      <c r="F21" s="3">
        <f t="shared" ref="F21:H21" si="23">MAX(F3:F18)</f>
        <v>75</v>
      </c>
      <c r="G21" s="3">
        <f t="shared" si="23"/>
        <v>97</v>
      </c>
      <c r="H21" s="3">
        <f t="shared" si="23"/>
        <v>96</v>
      </c>
      <c r="I21" s="4"/>
      <c r="J21" s="4"/>
      <c r="K21" s="4"/>
      <c r="L21" s="4"/>
      <c r="M21" s="4"/>
      <c r="N21" s="17">
        <f>MAX(N3:N18)</f>
        <v>11132</v>
      </c>
      <c r="O21" s="17">
        <f t="shared" ref="O21:R21" si="24">MAX(O3:O18)</f>
        <v>9900</v>
      </c>
      <c r="P21" s="17">
        <f t="shared" si="24"/>
        <v>9900</v>
      </c>
      <c r="Q21" s="17">
        <f t="shared" si="24"/>
        <v>9900</v>
      </c>
      <c r="R21" s="17">
        <f t="shared" si="24"/>
        <v>15900</v>
      </c>
      <c r="S21" s="18">
        <f t="shared" ref="S21:W21" si="25">MAX(S3:S18)</f>
        <v>506</v>
      </c>
      <c r="T21" s="18">
        <f t="shared" si="25"/>
        <v>756</v>
      </c>
      <c r="U21" s="18">
        <f t="shared" si="25"/>
        <v>756</v>
      </c>
      <c r="V21" s="18">
        <f t="shared" si="25"/>
        <v>1596</v>
      </c>
      <c r="W21" s="18">
        <f>MAX(W3:W18)</f>
        <v>1950</v>
      </c>
      <c r="X21" s="19">
        <f t="shared" ref="X21:AB21" si="26">MAX(X3:X18)</f>
        <v>11638</v>
      </c>
      <c r="Y21" s="19">
        <f t="shared" si="26"/>
        <v>9900</v>
      </c>
      <c r="Z21" s="19">
        <f t="shared" si="26"/>
        <v>9900</v>
      </c>
      <c r="AA21" s="19">
        <f t="shared" si="26"/>
        <v>9900</v>
      </c>
      <c r="AB21" s="19">
        <f>MAX(AB3:AB18)</f>
        <v>17850</v>
      </c>
      <c r="AC21" s="20">
        <f>MAX(AC3:AC18)</f>
        <v>50550</v>
      </c>
    </row>
    <row r="22" spans="1:29" x14ac:dyDescent="0.25">
      <c r="A22" s="1" t="s">
        <v>38</v>
      </c>
      <c r="C22" s="13">
        <f>AVERAGE(C3:C18)</f>
        <v>66.375</v>
      </c>
      <c r="D22" s="3">
        <f>AVERAGE(D3:D18)</f>
        <v>33.4375</v>
      </c>
      <c r="E22" s="3">
        <f>AVERAGE(E3:E18)</f>
        <v>30.8125</v>
      </c>
      <c r="F22" s="3">
        <f t="shared" ref="F22:H22" si="27">AVERAGE(F3:F18)</f>
        <v>35.625</v>
      </c>
      <c r="G22" s="3">
        <f t="shared" si="27"/>
        <v>38.3125</v>
      </c>
      <c r="H22" s="3">
        <f t="shared" si="27"/>
        <v>40.6875</v>
      </c>
      <c r="I22" s="4"/>
      <c r="J22" s="4"/>
      <c r="K22" s="4"/>
      <c r="L22" s="4"/>
      <c r="M22" s="4"/>
      <c r="N22" s="17">
        <f>AVERAGE(N3:N18)</f>
        <v>1903.3125</v>
      </c>
      <c r="O22" s="17">
        <f t="shared" ref="O22:R22" si="28">AVERAGE(O3:O18)</f>
        <v>2274.4375</v>
      </c>
      <c r="P22" s="17">
        <f t="shared" si="28"/>
        <v>2442</v>
      </c>
      <c r="Q22" s="17">
        <f t="shared" si="28"/>
        <v>2544.4375</v>
      </c>
      <c r="R22" s="17">
        <f t="shared" si="28"/>
        <v>3035.3125</v>
      </c>
      <c r="S22" s="18">
        <f t="shared" ref="S22:W22" si="29">AVERAGE(S3:S18)</f>
        <v>66.9375</v>
      </c>
      <c r="T22" s="18">
        <f t="shared" si="29"/>
        <v>57.5625</v>
      </c>
      <c r="U22" s="18">
        <f t="shared" si="29"/>
        <v>94.75</v>
      </c>
      <c r="V22" s="18">
        <f t="shared" si="29"/>
        <v>139.3125</v>
      </c>
      <c r="W22" s="18">
        <f>AVERAGE(W3:W18)</f>
        <v>290.9375</v>
      </c>
      <c r="X22" s="19">
        <f t="shared" ref="X22:AB22" si="30">AVERAGE(X3:X18)</f>
        <v>1970.25</v>
      </c>
      <c r="Y22" s="19">
        <f t="shared" si="30"/>
        <v>2332</v>
      </c>
      <c r="Z22" s="19">
        <f t="shared" si="30"/>
        <v>2536.75</v>
      </c>
      <c r="AA22" s="19">
        <f t="shared" si="30"/>
        <v>2683.75</v>
      </c>
      <c r="AB22" s="19">
        <f t="shared" si="30"/>
        <v>3326.25</v>
      </c>
      <c r="AC22" s="20">
        <f t="shared" ref="AC22" si="31">AVERAGE(AC3:AC18)</f>
        <v>12849</v>
      </c>
    </row>
    <row r="23" spans="1:29" x14ac:dyDescent="0.25">
      <c r="A23" s="1" t="s">
        <v>39</v>
      </c>
      <c r="C23" s="13">
        <f>SUM(C3:C18)</f>
        <v>1062</v>
      </c>
      <c r="D23" s="21"/>
      <c r="E23" s="21"/>
      <c r="F23" s="21"/>
      <c r="G23" s="21"/>
      <c r="H23" s="21"/>
      <c r="I23" s="4"/>
      <c r="J23" s="4"/>
      <c r="K23" s="4"/>
      <c r="L23" s="4"/>
      <c r="M23" s="4"/>
      <c r="N23" s="14">
        <f>SUM(N3:N18)</f>
        <v>30453</v>
      </c>
      <c r="O23" s="14">
        <f t="shared" ref="O23:Q23" si="32">SUM(O3:O18)</f>
        <v>36391</v>
      </c>
      <c r="P23" s="14">
        <f t="shared" si="32"/>
        <v>39072</v>
      </c>
      <c r="Q23" s="14">
        <f t="shared" si="32"/>
        <v>40711</v>
      </c>
      <c r="R23" s="14">
        <f>SUM(R3:R18)</f>
        <v>48565</v>
      </c>
      <c r="S23" s="13">
        <f>SUM(S3:S18)</f>
        <v>1071</v>
      </c>
      <c r="T23" s="13">
        <f t="shared" ref="T23:W23" si="33">SUM(T3:T18)</f>
        <v>921</v>
      </c>
      <c r="U23" s="13">
        <f t="shared" si="33"/>
        <v>1516</v>
      </c>
      <c r="V23" s="13">
        <f t="shared" si="33"/>
        <v>2229</v>
      </c>
      <c r="W23" s="13">
        <f>SUM(W3:W18)</f>
        <v>4655</v>
      </c>
      <c r="X23" s="15">
        <f t="shared" ref="X23:AB23" si="34">SUM(X3:X18)</f>
        <v>31524</v>
      </c>
      <c r="Y23" s="15">
        <f t="shared" si="34"/>
        <v>37312</v>
      </c>
      <c r="Z23" s="15">
        <f t="shared" si="34"/>
        <v>40588</v>
      </c>
      <c r="AA23" s="15">
        <f t="shared" si="34"/>
        <v>42940</v>
      </c>
      <c r="AB23" s="15">
        <f t="shared" si="34"/>
        <v>53220</v>
      </c>
      <c r="AC23" s="16">
        <f>SUM(AC3:AC18)</f>
        <v>205584</v>
      </c>
    </row>
  </sheetData>
  <mergeCells count="6">
    <mergeCell ref="I1:M1"/>
    <mergeCell ref="A1:B1"/>
    <mergeCell ref="N1:R1"/>
    <mergeCell ref="S1:W1"/>
    <mergeCell ref="X1:AB1"/>
    <mergeCell ref="D1:H1"/>
  </mergeCells>
  <pageMargins left="0.7" right="0.7" top="0.75" bottom="0.75" header="0.3" footer="0.3"/>
  <pageSetup scale="32" fitToHeight="0" orientation="landscape"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Liya 😉</dc:creator>
  <cp:lastModifiedBy>Liya 😉</cp:lastModifiedBy>
  <cp:lastPrinted>2025-06-13T10:59:16Z</cp:lastPrinted>
  <dcterms:created xsi:type="dcterms:W3CDTF">2025-04-11T12:38:43Z</dcterms:created>
  <dcterms:modified xsi:type="dcterms:W3CDTF">2025-06-13T11:14:50Z</dcterms:modified>
</cp:coreProperties>
</file>