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1_{49F1BBBC-C4B1-4701-B94F-C24AE4A8E99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2" sheetId="2" r:id="rId1"/>
    <sheet name="Sheet3" sheetId="3" r:id="rId2"/>
    <sheet name="Sheet1" sheetId="1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1" i="1" l="1"/>
  <c r="F180" i="1"/>
  <c r="F179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3" i="1"/>
  <c r="H3" i="1" s="1"/>
  <c r="G4" i="1"/>
  <c r="H4" i="1" s="1"/>
  <c r="G2" i="1"/>
  <c r="H2" i="1" s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C175" i="1"/>
  <c r="B176" i="1"/>
  <c r="C1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2" authorId="0" shapeId="0" xr:uid="{3FEC3A48-B3A8-4044-A0E1-FD55591D2C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It is an IF statement that checks whether the value in F2 (Profit) is greater than £50.
If Profit &gt; 50, it calculates the commission as G2 * 0.2 — meaning 20% of the profit.
If Profit is £50 or less, it calculates the commission as G2 * 0.1 — meaning 10% of the profit.
G2 in this case is the Profit value (as per your column heading).
In 1 row example:
Profit (F2) Commission Formula Result
£36.51 £36.51 * 10% = £3.651
Since £36.51 is less than £50, the commission is calculated as 10% of the profit.</t>
        </r>
      </text>
    </comment>
    <comment ref="M2" authorId="0" shapeId="0" xr:uid="{2E7B0F73-D1B3-41DF-9653-80B770E854DA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12"/>
            <color indexed="81"/>
            <rFont val="Tahoma"/>
            <family val="2"/>
          </rPr>
          <t xml:space="preserve">
Text to Column, Used to separate 1st and last name,  Where used the  data from the Ribbon and Text to Column</t>
        </r>
      </text>
    </comment>
    <comment ref="M3" authorId="0" shapeId="0" xr:uid="{E61E9F36-622A-4CE8-816C-62DB1ABB159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Used for the Hcolmn
to find commision for each person 
</t>
        </r>
      </text>
    </comment>
    <comment ref="F180" authorId="0" shapeId="0" xr:uid="{85ECC169-B898-4DFA-BC3B-E4A0391DD08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SUMIF(range_to_check, condition, [range_to_sum])
SUMIF is a conditional sum function: it adds up values that meet a certain condition.
F2:F176 is the range of cells (likely "Profit" in your table) that Excel will check.
"&gt;50" is the condition: only include values that are greater than £50.</t>
        </r>
      </text>
    </comment>
    <comment ref="H180" authorId="0" shapeId="0" xr:uid="{A0839C78-EF65-4508-A00E-A4228746B67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Excel is looking at Sale Price (column F) for values greater than 50.
For those rows that meet this condition (F &gt; 50), Excel adds up the Profit column (G) — not the Sale Price — the Profit!</t>
        </r>
      </text>
    </comment>
  </commentList>
</comments>
</file>

<file path=xl/sharedStrings.xml><?xml version="1.0" encoding="utf-8"?>
<sst xmlns="http://schemas.openxmlformats.org/spreadsheetml/2006/main" count="913" uniqueCount="63">
  <si>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</si>
  <si>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</si>
  <si>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</si>
  <si>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</si>
  <si>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</si>
  <si>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</si>
  <si>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</si>
  <si>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</si>
  <si>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</si>
  <si>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</si>
  <si>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</si>
  <si>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</si>
  <si>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</si>
  <si>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Code</t>
  </si>
  <si>
    <t>Product Description</t>
  </si>
  <si>
    <t>Store Cost</t>
  </si>
  <si>
    <t>Sale Price</t>
  </si>
  <si>
    <t>Sale Location</t>
  </si>
  <si>
    <t>Skimmer</t>
  </si>
  <si>
    <t>Water Pump</t>
  </si>
  <si>
    <t>Leaf Skimmer</t>
  </si>
  <si>
    <t>Chemical Feeder</t>
  </si>
  <si>
    <t>21 Gal Muratic Acid</t>
  </si>
  <si>
    <t>AluCover</t>
  </si>
  <si>
    <t>Pool Cover</t>
  </si>
  <si>
    <t>Net</t>
  </si>
  <si>
    <t>Chlorine Test Kit</t>
  </si>
  <si>
    <t>8 ft Hose</t>
  </si>
  <si>
    <t>Pump Motor</t>
  </si>
  <si>
    <t>Profit</t>
  </si>
  <si>
    <t>CA</t>
  </si>
  <si>
    <t>CO</t>
  </si>
  <si>
    <t>AZ</t>
  </si>
  <si>
    <t>NM</t>
  </si>
  <si>
    <t>Transactions Number</t>
  </si>
  <si>
    <t>Commision 10% for items less than £50. 20% for items more than £50</t>
  </si>
  <si>
    <t>Juan</t>
  </si>
  <si>
    <t>Hernandez</t>
  </si>
  <si>
    <t>Doug</t>
  </si>
  <si>
    <t>Smith</t>
  </si>
  <si>
    <t>Charlie</t>
  </si>
  <si>
    <t>Barns</t>
  </si>
  <si>
    <t>Helen</t>
  </si>
  <si>
    <t>Johnson</t>
  </si>
  <si>
    <t>First Name</t>
  </si>
  <si>
    <t>Last Name</t>
  </si>
  <si>
    <t>Used Formulas Here for this spreed sheet</t>
  </si>
  <si>
    <t>Text to Column</t>
  </si>
  <si>
    <t xml:space="preserve">If </t>
  </si>
  <si>
    <t>SumIF</t>
  </si>
  <si>
    <t>Sort</t>
  </si>
  <si>
    <t>Filter</t>
  </si>
  <si>
    <t>Pivot Tables</t>
  </si>
  <si>
    <t>Pie Chart</t>
  </si>
  <si>
    <t>Sum Of all items</t>
  </si>
  <si>
    <t>Sum of a items valued at more than £50</t>
  </si>
  <si>
    <t>Sum of items valued at £50 or less</t>
  </si>
  <si>
    <t>SUMIF(F2:F176, "&gt;50", G2:G176)</t>
  </si>
  <si>
    <t>Row Labels</t>
  </si>
  <si>
    <t>Grand Total</t>
  </si>
  <si>
    <t>Sum of Sale Price</t>
  </si>
  <si>
    <t>Sadia Hossain Liya</t>
  </si>
  <si>
    <t>Sum of Commision 10% for items less than £50. 20% for items more than £50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</si>
</sst>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64" formatCode="&quot;£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Database.xlsx]Sheet2!PivotTable1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D2-4770-9957-3B0AC15C02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D2-4770-9957-3B0AC15C02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D2-4770-9957-3B0AC15C02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AD2-4770-9957-3B0AC15C02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Charlie</c:v>
                </c:pt>
                <c:pt idx="1">
                  <c:v>Doug</c:v>
                </c:pt>
                <c:pt idx="2">
                  <c:v>Helen</c:v>
                </c:pt>
                <c:pt idx="3">
                  <c:v>Juan</c:v>
                </c:pt>
              </c:strCache>
            </c:strRef>
          </c:cat>
          <c:val>
            <c:numRef>
              <c:f>Sheet2!$B$4:$B$8</c:f>
              <c:numCache>
                <c:formatCode>"£"#,##0.00</c:formatCode>
                <c:ptCount val="4"/>
                <c:pt idx="0">
                  <c:v>2924.54</c:v>
                </c:pt>
                <c:pt idx="1">
                  <c:v>4579.33</c:v>
                </c:pt>
                <c:pt idx="2">
                  <c:v>3350.0200000000009</c:v>
                </c:pt>
                <c:pt idx="3">
                  <c:v>3189.5700000000006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C-4334-8E1E-8AE0037ED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Database.xlsx]Sheet3!PivotTable1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Charlie</c:v>
                </c:pt>
                <c:pt idx="1">
                  <c:v>Doug</c:v>
                </c:pt>
                <c:pt idx="2">
                  <c:v>Helen</c:v>
                </c:pt>
                <c:pt idx="3">
                  <c:v>Juan</c:v>
                </c:pt>
              </c:strCache>
            </c:strRef>
          </c:cat>
          <c:val>
            <c:numRef>
              <c:f>Sheet3!$B$4:$B$8</c:f>
              <c:numCache>
                <c:formatCode>"£"#,##0.00</c:formatCode>
                <c:ptCount val="4"/>
                <c:pt idx="0">
                  <c:v>376.065</c:v>
                </c:pt>
                <c:pt idx="1">
                  <c:v>581.548</c:v>
                </c:pt>
                <c:pt idx="2">
                  <c:v>437.03399999999988</c:v>
                </c:pt>
                <c:pt idx="3">
                  <c:v>394.51000000000005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F-40E0-B048-CE9163CFA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31189736"/>
        <c:axId val="631181456"/>
      </c:barChart>
      <c:catAx>
        <c:axId val="63118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81456"/>
        <c:crosses val="autoZero"/>
        <c:auto val="1"/>
        <c:lblAlgn val="ctr"/>
        <c:lblOffset val="100"/>
        <c:noMultiLvlLbl val="0"/>
      </c:catAx>
      <c:valAx>
        <c:axId val="6311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8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1</xdr:row>
      <xdr:rowOff>90487</xdr:rowOff>
    </xdr:from>
    <xdr:to>
      <xdr:col>13</xdr:col>
      <xdr:colOff>423862</xdr:colOff>
      <xdr:row>15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607C02-7323-3678-F78F-FE87AF4DC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138112</xdr:rowOff>
    </xdr:from>
    <xdr:to>
      <xdr:col>9</xdr:col>
      <xdr:colOff>466725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CE6FF-104B-5CE8-7B63-4BD4AC10F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28.9906619213" createdVersion="8" refreshedVersion="8" minRefreshableVersion="3" recordCount="175" xr:uid="{EC84D867-84F4-435A-BE79-C58838D61927}">
  <cacheSource type="worksheet">
    <worksheetSource ref="A1:K176" sheet="Sheet1"/>
  </cacheSource>
  <cacheFields count="11">
    <cacheField name="Month" numFmtId="0">
      <sharedItems/>
    </cacheField>
    <cacheField name="Transactions Number" numFmtId="3">
      <sharedItems containsSemiMixedTypes="0" containsString="0" containsNumber="1" containsInteger="1" minValue="1001" maxValue="1175"/>
    </cacheField>
    <cacheField name="Product Code" numFmtId="0">
      <sharedItems containsSemiMixedTypes="0" containsString="0" containsNumber="1" containsInteger="1" minValue="4812" maxValue="10158"/>
    </cacheField>
    <cacheField name="Product Description" numFmtId="0">
      <sharedItems/>
    </cacheField>
    <cacheField name="Store Cost" numFmtId="164">
      <sharedItems containsSemiMixedTypes="0" containsString="0" containsNumber="1" minValue="5.33" maxValue="49.91"/>
    </cacheField>
    <cacheField name="Sale Price" numFmtId="164">
      <sharedItems containsSemiMixedTypes="0" containsString="0" containsNumber="1" minValue="13.86" maxValue="146.09" count="175">
        <n v="46.04"/>
        <n v="71.39"/>
        <n v="57.21"/>
        <n v="78.92"/>
        <n v="64.97"/>
        <n v="48.12"/>
        <n v="69.84"/>
        <n v="92.2"/>
        <n v="128.5"/>
        <n v="75.41"/>
        <n v="86.63"/>
        <n v="42.99"/>
        <n v="56.77"/>
        <n v="69.459999999999994"/>
        <n v="77.64"/>
        <n v="44.1"/>
        <n v="37.520000000000003"/>
        <n v="51.47"/>
        <n v="19.649999999999999"/>
        <n v="74.06"/>
        <n v="109.47"/>
        <n v="47.1"/>
        <n v="41.28"/>
        <n v="112.51"/>
        <n v="68.95"/>
        <n v="106.4"/>
        <n v="127"/>
        <n v="79.3"/>
        <n v="89.49"/>
        <n v="97.46"/>
        <n v="28.5"/>
        <n v="85.72"/>
        <n v="103.97"/>
        <n v="62.9"/>
        <n v="54.27"/>
        <n v="87.45"/>
        <n v="138.49"/>
        <n v="107.08"/>
        <n v="98.66"/>
        <n v="87.93"/>
        <n v="120.45"/>
        <n v="93.66"/>
        <n v="119.29"/>
        <n v="96.03"/>
        <n v="126.92"/>
        <n v="95.45"/>
        <n v="63.59"/>
        <n v="112.23"/>
        <n v="72"/>
        <n v="90.99"/>
        <n v="105.59"/>
        <n v="62.06"/>
        <n v="66.23"/>
        <n v="19.100000000000001"/>
        <n v="45.87"/>
        <n v="48.84"/>
        <n v="55.03"/>
        <n v="83.37"/>
        <n v="23.17"/>
        <n v="90.01"/>
        <n v="35.979999999999997"/>
        <n v="86.34"/>
        <n v="61.25"/>
        <n v="116.62"/>
        <n v="93.92"/>
        <n v="58.26"/>
        <n v="142.36000000000001"/>
        <n v="87.49"/>
        <n v="126.19"/>
        <n v="79.8"/>
        <n v="112.02"/>
        <n v="80.25"/>
        <n v="107.53"/>
        <n v="74.319999999999993"/>
        <n v="67.19"/>
        <n v="70.569999999999993"/>
        <n v="87.5"/>
        <n v="109.27"/>
        <n v="52.74"/>
        <n v="69.34"/>
        <n v="35.36"/>
        <n v="84.12"/>
        <n v="141.27000000000001"/>
        <n v="84.17"/>
        <n v="38.43"/>
        <n v="102.8"/>
        <n v="77.319999999999993"/>
        <n v="109.9"/>
        <n v="82.2"/>
        <n v="136.54"/>
        <n v="113.33"/>
        <n v="82.15"/>
        <n v="34.549999999999997"/>
        <n v="63.12"/>
        <n v="81.53"/>
        <n v="117.43"/>
        <n v="100.76"/>
        <n v="68.040000000000006"/>
        <n v="111.95"/>
        <n v="127.45"/>
        <n v="105.64"/>
        <n v="22.42"/>
        <n v="88.39"/>
        <n v="56.75"/>
        <n v="57.97"/>
        <n v="81.84"/>
        <n v="129.41999999999999"/>
        <n v="50.59"/>
        <n v="94.81"/>
        <n v="69.209999999999994"/>
        <n v="88.59"/>
        <n v="23.55"/>
        <n v="46.17"/>
        <n v="121.77"/>
        <n v="104.46"/>
        <n v="125.25"/>
        <n v="120.1"/>
        <n v="37.06"/>
        <n v="47.08"/>
        <n v="121.7"/>
        <n v="105.77"/>
        <n v="64.349999999999994"/>
        <n v="106.41"/>
        <n v="40.549999999999997"/>
        <n v="146.09"/>
        <n v="84.31"/>
        <n v="65.819999999999993"/>
        <n v="71.95"/>
        <n v="70.95"/>
        <n v="110.95"/>
        <n v="55.65"/>
        <n v="109.77"/>
        <n v="75.180000000000007"/>
        <n v="93.4"/>
        <n v="13.86"/>
        <n v="62"/>
        <n v="101.28"/>
        <n v="52.65"/>
        <n v="73.81"/>
        <n v="99.83"/>
        <n v="77.290000000000006"/>
        <n v="50.78"/>
        <n v="69.77"/>
        <n v="65.790000000000006"/>
        <n v="100.19"/>
        <n v="61.59"/>
        <n v="45.58"/>
        <n v="56.32"/>
        <n v="136.01"/>
        <n v="62.09"/>
        <n v="100.66"/>
        <n v="93.12"/>
        <n v="38.32"/>
        <n v="120.96"/>
        <n v="51.02"/>
        <n v="118.07"/>
        <n v="63.63"/>
        <n v="123.96"/>
        <n v="121.6"/>
        <n v="50.71"/>
        <n v="16.350000000000001"/>
        <n v="140.62"/>
        <n v="58.38"/>
        <n v="123.9"/>
        <n v="70.8"/>
        <n v="122.71"/>
        <n v="44.36"/>
        <n v="116.76"/>
        <n v="60.12"/>
        <n v="55.48"/>
        <n v="71.27"/>
        <n v="37.020000000000003"/>
        <n v="40.799999999999997"/>
        <n v="118.1"/>
        <n v="33.92"/>
      </sharedItems>
    </cacheField>
    <cacheField name="Profit" numFmtId="164">
      <sharedItems containsSemiMixedTypes="0" containsString="0" containsNumber="1" minValue="6.2399999999999984" maxValue="99.87"/>
    </cacheField>
    <cacheField name="Commision 10% for items less than £50. 20% for items more than £50" numFmtId="0">
      <sharedItems containsSemiMixedTypes="0" containsString="0" containsNumber="1" minValue="0.62399999999999989" maxValue="19.974000000000004"/>
    </cacheField>
    <cacheField name="First Name" numFmtId="0">
      <sharedItems count="4">
        <s v="Juan"/>
        <s v="Doug"/>
        <s v="Charlie"/>
        <s v="Helen"/>
      </sharedItems>
    </cacheField>
    <cacheField name="Last Name" numFmtId="0">
      <sharedItems count="4">
        <s v="Hernandez"/>
        <s v="Smith"/>
        <s v="Barns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s v="Jan"/>
    <n v="1001"/>
    <n v="9882"/>
    <s v="Skimmer"/>
    <n v="9.5299999999999994"/>
    <x v="0"/>
    <n v="36.51"/>
    <n v="3.6509999999999998"/>
    <x v="0"/>
    <x v="0"/>
    <s v="CA"/>
  </r>
  <r>
    <s v="Jan"/>
    <n v="1002"/>
    <n v="9905"/>
    <s v="Water Pump"/>
    <n v="36.090000000000003"/>
    <x v="1"/>
    <n v="35.299999999999997"/>
    <n v="7.06"/>
    <x v="1"/>
    <x v="1"/>
    <s v="CO"/>
  </r>
  <r>
    <s v="Jan"/>
    <n v="1003"/>
    <n v="9928"/>
    <s v="Leaf Skimmer"/>
    <n v="9.42"/>
    <x v="2"/>
    <n v="47.79"/>
    <n v="9.5579999999999998"/>
    <x v="2"/>
    <x v="2"/>
    <s v="CA"/>
  </r>
  <r>
    <s v="Jan"/>
    <n v="1004"/>
    <n v="9951"/>
    <s v="Chemical Feeder"/>
    <n v="36.46"/>
    <x v="3"/>
    <n v="42.46"/>
    <n v="8.4920000000000009"/>
    <x v="0"/>
    <x v="0"/>
    <s v="AZ"/>
  </r>
  <r>
    <s v="Jan"/>
    <n v="1005"/>
    <n v="9974"/>
    <s v="Chemical Feeder"/>
    <n v="34.479999999999997"/>
    <x v="4"/>
    <n v="30.490000000000002"/>
    <n v="6.0980000000000008"/>
    <x v="2"/>
    <x v="2"/>
    <s v="CO"/>
  </r>
  <r>
    <s v="Jan"/>
    <n v="1006"/>
    <n v="9997"/>
    <s v="21 Gal Muratic Acid"/>
    <n v="36.57"/>
    <x v="5"/>
    <n v="11.549999999999997"/>
    <n v="1.1549999999999998"/>
    <x v="2"/>
    <x v="2"/>
    <s v="CO"/>
  </r>
  <r>
    <s v="Jan"/>
    <n v="1007"/>
    <n v="10020"/>
    <s v="Leaf Skimmer"/>
    <n v="47.13"/>
    <x v="6"/>
    <n v="22.71"/>
    <n v="4.5420000000000007"/>
    <x v="0"/>
    <x v="0"/>
    <s v="NM"/>
  </r>
  <r>
    <s v="Jan"/>
    <n v="1008"/>
    <n v="10043"/>
    <s v="AluCover"/>
    <n v="46.96"/>
    <x v="7"/>
    <n v="45.24"/>
    <n v="9.048"/>
    <x v="0"/>
    <x v="0"/>
    <s v="CO"/>
  </r>
  <r>
    <s v="Jan"/>
    <n v="1009"/>
    <n v="10066"/>
    <s v="Pool Cover"/>
    <n v="43.64"/>
    <x v="8"/>
    <n v="84.86"/>
    <n v="16.972000000000001"/>
    <x v="0"/>
    <x v="0"/>
    <s v="CO"/>
  </r>
  <r>
    <s v="Jan"/>
    <n v="1010"/>
    <n v="10089"/>
    <s v="Leaf Skimmer"/>
    <n v="18.600000000000001"/>
    <x v="9"/>
    <n v="56.809999999999995"/>
    <n v="11.362"/>
    <x v="0"/>
    <x v="0"/>
    <s v="AZ"/>
  </r>
  <r>
    <s v="Jan"/>
    <n v="1011"/>
    <n v="10112"/>
    <s v="Net"/>
    <n v="11.88"/>
    <x v="10"/>
    <n v="74.75"/>
    <n v="14.950000000000001"/>
    <x v="3"/>
    <x v="3"/>
    <s v="CO"/>
  </r>
  <r>
    <s v="Jan"/>
    <n v="1012"/>
    <n v="10135"/>
    <s v="Pool Cover"/>
    <n v="26.43"/>
    <x v="11"/>
    <n v="16.560000000000002"/>
    <n v="1.6560000000000004"/>
    <x v="3"/>
    <x v="3"/>
    <s v="AZ"/>
  </r>
  <r>
    <s v="Jan"/>
    <n v="1013"/>
    <n v="10158"/>
    <s v="Leaf Skimmer"/>
    <n v="36.44"/>
    <x v="12"/>
    <n v="20.330000000000005"/>
    <n v="4.0660000000000016"/>
    <x v="0"/>
    <x v="0"/>
    <s v="CA"/>
  </r>
  <r>
    <s v="Jan"/>
    <n v="1014"/>
    <n v="10125"/>
    <s v="Net"/>
    <n v="39.61"/>
    <x v="13"/>
    <n v="29.849999999999994"/>
    <n v="5.9699999999999989"/>
    <x v="3"/>
    <x v="3"/>
    <s v="CO"/>
  </r>
  <r>
    <s v="Jan"/>
    <n v="1015"/>
    <n v="10092"/>
    <s v="Chlorine Test Kit"/>
    <n v="5.33"/>
    <x v="14"/>
    <n v="72.31"/>
    <n v="14.462000000000002"/>
    <x v="2"/>
    <x v="2"/>
    <s v="CA"/>
  </r>
  <r>
    <s v="Feb"/>
    <n v="1016"/>
    <n v="10059"/>
    <s v="21 Gal Muratic Acid"/>
    <n v="9.15"/>
    <x v="15"/>
    <n v="34.950000000000003"/>
    <n v="3.4950000000000006"/>
    <x v="0"/>
    <x v="0"/>
    <s v="AZ"/>
  </r>
  <r>
    <s v="Feb"/>
    <n v="1017"/>
    <n v="10026"/>
    <s v="Net"/>
    <n v="8.86"/>
    <x v="16"/>
    <n v="28.660000000000004"/>
    <n v="2.8660000000000005"/>
    <x v="1"/>
    <x v="1"/>
    <s v="AZ"/>
  </r>
  <r>
    <s v="Feb"/>
    <n v="1018"/>
    <n v="9993"/>
    <s v="Chlorine Test Kit"/>
    <n v="39.799999999999997"/>
    <x v="17"/>
    <n v="11.670000000000002"/>
    <n v="2.3340000000000005"/>
    <x v="0"/>
    <x v="0"/>
    <s v="AZ"/>
  </r>
  <r>
    <s v="Feb"/>
    <n v="1019"/>
    <n v="9960"/>
    <s v="Pool Cover"/>
    <n v="7.73"/>
    <x v="18"/>
    <n v="11.919999999999998"/>
    <n v="1.1919999999999999"/>
    <x v="3"/>
    <x v="3"/>
    <s v="CA"/>
  </r>
  <r>
    <s v="Feb"/>
    <n v="1020"/>
    <n v="9927"/>
    <s v="Pool Cover"/>
    <n v="28.77"/>
    <x v="19"/>
    <n v="45.290000000000006"/>
    <n v="9.0580000000000016"/>
    <x v="1"/>
    <x v="1"/>
    <s v="AZ"/>
  </r>
  <r>
    <s v="Feb"/>
    <n v="1021"/>
    <n v="9894"/>
    <s v="8 ft Hose"/>
    <n v="49.33"/>
    <x v="20"/>
    <n v="60.14"/>
    <n v="12.028"/>
    <x v="3"/>
    <x v="3"/>
    <s v="AZ"/>
  </r>
  <r>
    <s v="Feb"/>
    <n v="1022"/>
    <n v="9861"/>
    <s v="Chlorine Test Kit"/>
    <n v="20.41"/>
    <x v="21"/>
    <n v="26.69"/>
    <n v="2.6690000000000005"/>
    <x v="1"/>
    <x v="1"/>
    <s v="AZ"/>
  </r>
  <r>
    <s v="Feb"/>
    <n v="1023"/>
    <n v="9828"/>
    <s v="AluCover"/>
    <n v="32.479999999999997"/>
    <x v="22"/>
    <n v="8.8000000000000043"/>
    <n v="0.88000000000000045"/>
    <x v="2"/>
    <x v="2"/>
    <s v="NM"/>
  </r>
  <r>
    <s v="Feb"/>
    <n v="1024"/>
    <n v="9795"/>
    <s v="Chlorine Test Kit"/>
    <n v="13.27"/>
    <x v="23"/>
    <n v="99.240000000000009"/>
    <n v="19.848000000000003"/>
    <x v="3"/>
    <x v="3"/>
    <s v="NM"/>
  </r>
  <r>
    <s v="Feb"/>
    <n v="1025"/>
    <n v="9762"/>
    <s v="Chlorine Test Kit"/>
    <n v="45.55"/>
    <x v="24"/>
    <n v="23.400000000000006"/>
    <n v="4.6800000000000015"/>
    <x v="3"/>
    <x v="3"/>
    <s v="AZ"/>
  </r>
  <r>
    <s v="Feb"/>
    <n v="1026"/>
    <n v="9729"/>
    <s v="AluCover"/>
    <n v="36.42"/>
    <x v="25"/>
    <n v="69.98"/>
    <n v="13.996000000000002"/>
    <x v="3"/>
    <x v="3"/>
    <s v="CO"/>
  </r>
  <r>
    <s v="Feb"/>
    <n v="1027"/>
    <n v="9696"/>
    <s v="8 ft Hose"/>
    <n v="40.74"/>
    <x v="26"/>
    <n v="86.259999999999991"/>
    <n v="17.251999999999999"/>
    <x v="2"/>
    <x v="2"/>
    <s v="AZ"/>
  </r>
  <r>
    <s v="Feb"/>
    <n v="1028"/>
    <n v="9663"/>
    <s v="Net"/>
    <n v="25.99"/>
    <x v="27"/>
    <n v="53.31"/>
    <n v="10.662000000000001"/>
    <x v="2"/>
    <x v="2"/>
    <s v="CO"/>
  </r>
  <r>
    <s v="Feb"/>
    <n v="1029"/>
    <n v="9630"/>
    <s v="Net"/>
    <n v="29.87"/>
    <x v="28"/>
    <n v="59.61999999999999"/>
    <n v="11.923999999999999"/>
    <x v="1"/>
    <x v="1"/>
    <s v="CO"/>
  </r>
  <r>
    <s v="Feb"/>
    <n v="1030"/>
    <n v="9597"/>
    <s v="Pool Cover"/>
    <n v="20.02"/>
    <x v="29"/>
    <n v="77.44"/>
    <n v="15.488"/>
    <x v="0"/>
    <x v="0"/>
    <s v="AZ"/>
  </r>
  <r>
    <s v="Mar"/>
    <n v="1031"/>
    <n v="9564"/>
    <s v="Pool Cover"/>
    <n v="22.26"/>
    <x v="30"/>
    <n v="6.2399999999999984"/>
    <n v="0.62399999999999989"/>
    <x v="2"/>
    <x v="2"/>
    <s v="CA"/>
  </r>
  <r>
    <s v="Mar"/>
    <n v="1032"/>
    <n v="9531"/>
    <s v="8 ft Hose"/>
    <n v="14.74"/>
    <x v="31"/>
    <n v="70.98"/>
    <n v="14.196000000000002"/>
    <x v="2"/>
    <x v="2"/>
    <s v="NM"/>
  </r>
  <r>
    <s v="Mar"/>
    <n v="1033"/>
    <n v="9498"/>
    <s v="Pump Motor"/>
    <n v="32.21"/>
    <x v="32"/>
    <n v="71.759999999999991"/>
    <n v="14.351999999999999"/>
    <x v="1"/>
    <x v="1"/>
    <s v="NM"/>
  </r>
  <r>
    <s v="Mar"/>
    <n v="1034"/>
    <n v="9465"/>
    <s v="Leaf Skimmer"/>
    <n v="44.01"/>
    <x v="33"/>
    <n v="18.89"/>
    <n v="3.7780000000000005"/>
    <x v="2"/>
    <x v="2"/>
    <s v="CA"/>
  </r>
  <r>
    <s v="Mar"/>
    <n v="1035"/>
    <n v="9432"/>
    <s v="8 ft Hose"/>
    <n v="7.46"/>
    <x v="34"/>
    <n v="46.81"/>
    <n v="9.3620000000000001"/>
    <x v="1"/>
    <x v="1"/>
    <s v="CO"/>
  </r>
  <r>
    <s v="Mar"/>
    <n v="1036"/>
    <n v="9399"/>
    <s v="21 Gal Muratic Acid"/>
    <n v="48.04"/>
    <x v="35"/>
    <n v="39.410000000000004"/>
    <n v="7.8820000000000014"/>
    <x v="2"/>
    <x v="2"/>
    <s v="NM"/>
  </r>
  <r>
    <s v="Mar"/>
    <n v="1037"/>
    <n v="9366"/>
    <s v="Skimmer"/>
    <n v="48.62"/>
    <x v="36"/>
    <n v="89.87"/>
    <n v="17.974"/>
    <x v="1"/>
    <x v="1"/>
    <s v="CO"/>
  </r>
  <r>
    <s v="Mar"/>
    <n v="1038"/>
    <n v="9333"/>
    <s v="Chlorine Test Kit"/>
    <n v="40.270000000000003"/>
    <x v="37"/>
    <n v="66.81"/>
    <n v="13.362000000000002"/>
    <x v="1"/>
    <x v="1"/>
    <s v="NM"/>
  </r>
  <r>
    <s v="Mar"/>
    <n v="1039"/>
    <n v="9300"/>
    <s v="Pool Cover"/>
    <n v="24.1"/>
    <x v="38"/>
    <n v="74.56"/>
    <n v="14.912000000000001"/>
    <x v="0"/>
    <x v="0"/>
    <s v="NM"/>
  </r>
  <r>
    <s v="Mar"/>
    <n v="1040"/>
    <n v="9267"/>
    <s v="Skimmer"/>
    <n v="13.58"/>
    <x v="39"/>
    <n v="74.350000000000009"/>
    <n v="14.870000000000003"/>
    <x v="2"/>
    <x v="2"/>
    <s v="CO"/>
  </r>
  <r>
    <s v="Mar"/>
    <n v="1041"/>
    <n v="9234"/>
    <s v="Pump Motor"/>
    <n v="24.3"/>
    <x v="40"/>
    <n v="96.15"/>
    <n v="19.230000000000004"/>
    <x v="0"/>
    <x v="0"/>
    <s v="AZ"/>
  </r>
  <r>
    <s v="Mar"/>
    <n v="1042"/>
    <n v="9201"/>
    <s v="21 Gal Muratic Acid"/>
    <n v="41.14"/>
    <x v="41"/>
    <n v="52.519999999999996"/>
    <n v="10.504"/>
    <x v="0"/>
    <x v="0"/>
    <s v="NM"/>
  </r>
  <r>
    <s v="Mar"/>
    <n v="1043"/>
    <n v="9168"/>
    <s v="Pool Cover"/>
    <n v="45.43"/>
    <x v="42"/>
    <n v="73.860000000000014"/>
    <n v="14.772000000000004"/>
    <x v="0"/>
    <x v="0"/>
    <s v="AZ"/>
  </r>
  <r>
    <s v="Mar"/>
    <n v="1044"/>
    <n v="9135"/>
    <s v="AluCover"/>
    <n v="12.35"/>
    <x v="43"/>
    <n v="83.68"/>
    <n v="16.736000000000001"/>
    <x v="3"/>
    <x v="3"/>
    <s v="CA"/>
  </r>
  <r>
    <s v="Mar"/>
    <n v="1045"/>
    <n v="9102"/>
    <s v="Water Pump"/>
    <n v="31.51"/>
    <x v="44"/>
    <n v="95.41"/>
    <n v="19.082000000000001"/>
    <x v="3"/>
    <x v="3"/>
    <s v="AZ"/>
  </r>
  <r>
    <s v="Apr"/>
    <n v="1046"/>
    <n v="9069"/>
    <s v="Chlorine Test Kit"/>
    <n v="8.02"/>
    <x v="45"/>
    <n v="87.43"/>
    <n v="17.486000000000001"/>
    <x v="0"/>
    <x v="0"/>
    <s v="CA"/>
  </r>
  <r>
    <s v="Apr"/>
    <n v="1047"/>
    <n v="9036"/>
    <s v="21 Gal Muratic Acid"/>
    <n v="27.13"/>
    <x v="46"/>
    <n v="36.460000000000008"/>
    <n v="7.2920000000000016"/>
    <x v="1"/>
    <x v="1"/>
    <s v="CO"/>
  </r>
  <r>
    <s v="Apr"/>
    <n v="1048"/>
    <n v="9003"/>
    <s v="Skimmer"/>
    <n v="21.21"/>
    <x v="47"/>
    <n v="91.02000000000001"/>
    <n v="18.204000000000004"/>
    <x v="2"/>
    <x v="2"/>
    <s v="CO"/>
  </r>
  <r>
    <s v="Apr"/>
    <n v="1049"/>
    <n v="8970"/>
    <s v="Net"/>
    <n v="26.31"/>
    <x v="48"/>
    <n v="45.69"/>
    <n v="9.1379999999999999"/>
    <x v="3"/>
    <x v="3"/>
    <s v="CA"/>
  </r>
  <r>
    <s v="Apr"/>
    <n v="1050"/>
    <n v="8937"/>
    <s v="21 Gal Muratic Acid"/>
    <n v="21.16"/>
    <x v="49"/>
    <n v="69.83"/>
    <n v="13.966000000000001"/>
    <x v="3"/>
    <x v="3"/>
    <s v="AZ"/>
  </r>
  <r>
    <s v="Apr"/>
    <n v="1051"/>
    <n v="8904"/>
    <s v="Water Pump"/>
    <n v="8.5500000000000007"/>
    <x v="50"/>
    <n v="97.04"/>
    <n v="19.408000000000001"/>
    <x v="1"/>
    <x v="1"/>
    <s v="CO"/>
  </r>
  <r>
    <s v="Apr"/>
    <n v="1052"/>
    <n v="8871"/>
    <s v="AluCover"/>
    <n v="39.619999999999997"/>
    <x v="51"/>
    <n v="22.440000000000005"/>
    <n v="4.4880000000000013"/>
    <x v="1"/>
    <x v="1"/>
    <s v="CO"/>
  </r>
  <r>
    <s v="Apr"/>
    <n v="1053"/>
    <n v="8838"/>
    <s v="Net"/>
    <n v="46.7"/>
    <x v="52"/>
    <n v="19.53"/>
    <n v="3.9060000000000006"/>
    <x v="2"/>
    <x v="2"/>
    <s v="CO"/>
  </r>
  <r>
    <s v="Apr"/>
    <n v="1054"/>
    <n v="8805"/>
    <s v="Water Pump"/>
    <n v="10.39"/>
    <x v="53"/>
    <n v="8.7100000000000009"/>
    <n v="0.87100000000000011"/>
    <x v="2"/>
    <x v="2"/>
    <s v="AZ"/>
  </r>
  <r>
    <s v="Apr"/>
    <n v="1055"/>
    <n v="8772"/>
    <s v="Skimmer"/>
    <n v="32.299999999999997"/>
    <x v="54"/>
    <n v="13.57"/>
    <n v="1.3570000000000002"/>
    <x v="2"/>
    <x v="2"/>
    <s v="CO"/>
  </r>
  <r>
    <s v="Apr"/>
    <n v="1056"/>
    <n v="8739"/>
    <s v="Leaf Skimmer"/>
    <n v="12.42"/>
    <x v="55"/>
    <n v="36.42"/>
    <n v="3.6420000000000003"/>
    <x v="2"/>
    <x v="2"/>
    <s v="CA"/>
  </r>
  <r>
    <s v="Apr"/>
    <n v="1057"/>
    <n v="8706"/>
    <s v="8 ft Hose"/>
    <n v="10.71"/>
    <x v="56"/>
    <n v="44.32"/>
    <n v="8.8640000000000008"/>
    <x v="3"/>
    <x v="3"/>
    <s v="AZ"/>
  </r>
  <r>
    <s v="Apr"/>
    <n v="1058"/>
    <n v="8673"/>
    <s v="Chlorine Test Kit"/>
    <n v="6.29"/>
    <x v="57"/>
    <n v="77.08"/>
    <n v="15.416"/>
    <x v="0"/>
    <x v="0"/>
    <s v="CO"/>
  </r>
  <r>
    <s v="Apr"/>
    <n v="1059"/>
    <n v="8640"/>
    <s v="Chlorine Test Kit"/>
    <n v="6.48"/>
    <x v="58"/>
    <n v="16.690000000000001"/>
    <n v="1.6690000000000003"/>
    <x v="1"/>
    <x v="1"/>
    <s v="AZ"/>
  </r>
  <r>
    <s v="Apr"/>
    <n v="1060"/>
    <n v="8607"/>
    <s v="Pump Motor"/>
    <n v="8.86"/>
    <x v="59"/>
    <n v="81.150000000000006"/>
    <n v="16.23"/>
    <x v="0"/>
    <x v="0"/>
    <s v="AZ"/>
  </r>
  <r>
    <s v="May"/>
    <n v="1061"/>
    <n v="8574"/>
    <s v="Chlorine Test Kit"/>
    <n v="12.57"/>
    <x v="60"/>
    <n v="23.409999999999997"/>
    <n v="2.3409999999999997"/>
    <x v="1"/>
    <x v="1"/>
    <s v="AZ"/>
  </r>
  <r>
    <s v="May"/>
    <n v="1062"/>
    <n v="8541"/>
    <s v="Chlorine Test Kit"/>
    <n v="18.920000000000002"/>
    <x v="61"/>
    <n v="67.42"/>
    <n v="13.484000000000002"/>
    <x v="0"/>
    <x v="0"/>
    <s v="AZ"/>
  </r>
  <r>
    <s v="May"/>
    <n v="1063"/>
    <n v="8508"/>
    <s v="Chlorine Test Kit"/>
    <n v="42.48"/>
    <x v="62"/>
    <n v="18.770000000000003"/>
    <n v="3.7540000000000009"/>
    <x v="0"/>
    <x v="0"/>
    <s v="CO"/>
  </r>
  <r>
    <s v="May"/>
    <n v="1064"/>
    <n v="8475"/>
    <s v="21 Gal Muratic Acid"/>
    <n v="38.92"/>
    <x v="63"/>
    <n v="77.7"/>
    <n v="15.540000000000001"/>
    <x v="2"/>
    <x v="2"/>
    <s v="CA"/>
  </r>
  <r>
    <s v="May"/>
    <n v="1065"/>
    <n v="8442"/>
    <s v="AluCover"/>
    <n v="37.39"/>
    <x v="64"/>
    <n v="56.53"/>
    <n v="11.306000000000001"/>
    <x v="0"/>
    <x v="0"/>
    <s v="CA"/>
  </r>
  <r>
    <s v="May"/>
    <n v="1066"/>
    <n v="8409"/>
    <s v="Chemical Feeder"/>
    <n v="19.93"/>
    <x v="65"/>
    <n v="38.33"/>
    <n v="7.6660000000000004"/>
    <x v="0"/>
    <x v="0"/>
    <s v="NM"/>
  </r>
  <r>
    <s v="May"/>
    <n v="1067"/>
    <n v="8376"/>
    <s v="Water Pump"/>
    <n v="48.48"/>
    <x v="66"/>
    <n v="93.880000000000024"/>
    <n v="18.776000000000007"/>
    <x v="2"/>
    <x v="2"/>
    <s v="NM"/>
  </r>
  <r>
    <s v="May"/>
    <n v="1068"/>
    <n v="8343"/>
    <s v="Leaf Skimmer"/>
    <n v="32.24"/>
    <x v="67"/>
    <n v="55.249999999999993"/>
    <n v="11.049999999999999"/>
    <x v="3"/>
    <x v="3"/>
    <s v="NM"/>
  </r>
  <r>
    <s v="May"/>
    <n v="1069"/>
    <n v="8310"/>
    <s v="Chemical Feeder"/>
    <n v="38.74"/>
    <x v="68"/>
    <n v="87.449999999999989"/>
    <n v="17.489999999999998"/>
    <x v="0"/>
    <x v="0"/>
    <s v="AZ"/>
  </r>
  <r>
    <s v="May"/>
    <n v="1070"/>
    <n v="8277"/>
    <s v="Pool Cover"/>
    <n v="19.739999999999998"/>
    <x v="69"/>
    <n v="60.06"/>
    <n v="12.012"/>
    <x v="1"/>
    <x v="1"/>
    <s v="NM"/>
  </r>
  <r>
    <s v="May"/>
    <n v="1071"/>
    <n v="8244"/>
    <s v="Pump Motor"/>
    <n v="20.29"/>
    <x v="70"/>
    <n v="91.72999999999999"/>
    <n v="18.346"/>
    <x v="2"/>
    <x v="2"/>
    <s v="AZ"/>
  </r>
  <r>
    <s v="May"/>
    <n v="1072"/>
    <n v="8211"/>
    <s v="Water Pump"/>
    <n v="18.7"/>
    <x v="71"/>
    <n v="61.55"/>
    <n v="12.31"/>
    <x v="0"/>
    <x v="0"/>
    <s v="AZ"/>
  </r>
  <r>
    <s v="May"/>
    <n v="1073"/>
    <n v="8178"/>
    <s v="Pump Motor"/>
    <n v="49.18"/>
    <x v="72"/>
    <n v="58.35"/>
    <n v="11.670000000000002"/>
    <x v="0"/>
    <x v="0"/>
    <s v="NM"/>
  </r>
  <r>
    <s v="May"/>
    <n v="1074"/>
    <n v="8145"/>
    <s v="Leaf Skimmer"/>
    <n v="26.98"/>
    <x v="73"/>
    <n v="47.339999999999989"/>
    <n v="9.4679999999999982"/>
    <x v="2"/>
    <x v="2"/>
    <s v="NM"/>
  </r>
  <r>
    <s v="May"/>
    <n v="1075"/>
    <n v="8112"/>
    <s v="AluCover"/>
    <n v="41.56"/>
    <x v="74"/>
    <n v="25.629999999999995"/>
    <n v="5.1259999999999994"/>
    <x v="1"/>
    <x v="1"/>
    <s v="NM"/>
  </r>
  <r>
    <s v="Jun"/>
    <n v="1076"/>
    <n v="8079"/>
    <s v="Leaf Skimmer"/>
    <n v="8.07"/>
    <x v="75"/>
    <n v="62.499999999999993"/>
    <n v="12.5"/>
    <x v="2"/>
    <x v="2"/>
    <s v="CA"/>
  </r>
  <r>
    <s v="Jun"/>
    <n v="1077"/>
    <n v="8046"/>
    <s v="AluCover"/>
    <n v="24.44"/>
    <x v="76"/>
    <n v="63.06"/>
    <n v="12.612000000000002"/>
    <x v="1"/>
    <x v="1"/>
    <s v="CO"/>
  </r>
  <r>
    <s v="Jun"/>
    <n v="1078"/>
    <n v="8013"/>
    <s v="AluCover"/>
    <n v="29.85"/>
    <x v="77"/>
    <n v="79.419999999999987"/>
    <n v="15.883999999999999"/>
    <x v="0"/>
    <x v="0"/>
    <s v="CO"/>
  </r>
  <r>
    <s v="Jun"/>
    <n v="1079"/>
    <n v="7980"/>
    <s v="AluCover"/>
    <n v="28.25"/>
    <x v="78"/>
    <n v="24.490000000000002"/>
    <n v="4.8980000000000006"/>
    <x v="3"/>
    <x v="3"/>
    <s v="CA"/>
  </r>
  <r>
    <s v="Jun"/>
    <n v="1080"/>
    <n v="7947"/>
    <s v="Chemical Feeder"/>
    <n v="26.88"/>
    <x v="79"/>
    <n v="42.460000000000008"/>
    <n v="8.4920000000000027"/>
    <x v="0"/>
    <x v="0"/>
    <s v="CA"/>
  </r>
  <r>
    <s v="Jun"/>
    <n v="1081"/>
    <n v="7914"/>
    <s v="Chemical Feeder"/>
    <n v="10.210000000000001"/>
    <x v="80"/>
    <n v="25.15"/>
    <n v="2.5150000000000001"/>
    <x v="2"/>
    <x v="2"/>
    <s v="AZ"/>
  </r>
  <r>
    <s v="Jun"/>
    <n v="1082"/>
    <n v="7881"/>
    <s v="Water Pump"/>
    <n v="30.34"/>
    <x v="81"/>
    <n v="53.78"/>
    <n v="10.756"/>
    <x v="1"/>
    <x v="1"/>
    <s v="NM"/>
  </r>
  <r>
    <s v="Jun"/>
    <n v="1083"/>
    <n v="7848"/>
    <s v="Pump Motor"/>
    <n v="41.5"/>
    <x v="82"/>
    <n v="99.77000000000001"/>
    <n v="19.954000000000004"/>
    <x v="1"/>
    <x v="1"/>
    <s v="CO"/>
  </r>
  <r>
    <s v="Jun"/>
    <n v="1084"/>
    <n v="7815"/>
    <s v="Skimmer"/>
    <n v="33.6"/>
    <x v="83"/>
    <n v="50.57"/>
    <n v="10.114000000000001"/>
    <x v="0"/>
    <x v="0"/>
    <s v="CO"/>
  </r>
  <r>
    <s v="Jun"/>
    <n v="1085"/>
    <n v="7782"/>
    <s v="Leaf Skimmer"/>
    <n v="6.02"/>
    <x v="84"/>
    <n v="32.409999999999997"/>
    <n v="3.2409999999999997"/>
    <x v="1"/>
    <x v="1"/>
    <s v="AZ"/>
  </r>
  <r>
    <s v="Jun"/>
    <n v="1086"/>
    <n v="7749"/>
    <s v="Water Pump"/>
    <n v="40.99"/>
    <x v="85"/>
    <n v="61.809999999999995"/>
    <n v="12.362"/>
    <x v="0"/>
    <x v="0"/>
    <s v="CO"/>
  </r>
  <r>
    <s v="Jun"/>
    <n v="1087"/>
    <n v="7716"/>
    <s v="21 Gal Muratic Acid"/>
    <n v="42.61"/>
    <x v="86"/>
    <n v="34.709999999999994"/>
    <n v="6.9419999999999993"/>
    <x v="1"/>
    <x v="1"/>
    <s v="CO"/>
  </r>
  <r>
    <s v="Jun"/>
    <n v="1088"/>
    <n v="7683"/>
    <s v="Chemical Feeder"/>
    <n v="47.61"/>
    <x v="87"/>
    <n v="62.290000000000006"/>
    <n v="12.458000000000002"/>
    <x v="1"/>
    <x v="1"/>
    <s v="CO"/>
  </r>
  <r>
    <s v="Jun"/>
    <n v="1089"/>
    <n v="7650"/>
    <s v="Water Pump"/>
    <n v="31.45"/>
    <x v="88"/>
    <n v="50.75"/>
    <n v="10.15"/>
    <x v="3"/>
    <x v="3"/>
    <s v="NM"/>
  </r>
  <r>
    <s v="Jun"/>
    <n v="1090"/>
    <n v="7617"/>
    <s v="Water Pump"/>
    <n v="37.64"/>
    <x v="89"/>
    <n v="98.899999999999991"/>
    <n v="19.78"/>
    <x v="3"/>
    <x v="3"/>
    <s v="CO"/>
  </r>
  <r>
    <s v="Jul"/>
    <n v="1091"/>
    <n v="7584"/>
    <s v="AluCover"/>
    <n v="39.89"/>
    <x v="90"/>
    <n v="73.44"/>
    <n v="14.688000000000001"/>
    <x v="1"/>
    <x v="1"/>
    <s v="NM"/>
  </r>
  <r>
    <s v="Jul"/>
    <n v="1092"/>
    <n v="7551"/>
    <s v="Water Pump"/>
    <n v="33.799999999999997"/>
    <x v="91"/>
    <n v="48.350000000000009"/>
    <n v="9.6700000000000017"/>
    <x v="3"/>
    <x v="3"/>
    <s v="CA"/>
  </r>
  <r>
    <s v="Jul"/>
    <n v="1093"/>
    <n v="7518"/>
    <s v="8 ft Hose"/>
    <n v="19.95"/>
    <x v="92"/>
    <n v="14.599999999999998"/>
    <n v="1.46"/>
    <x v="2"/>
    <x v="2"/>
    <s v="CO"/>
  </r>
  <r>
    <s v="Jul"/>
    <n v="1094"/>
    <n v="7485"/>
    <s v="AluCover"/>
    <n v="39.119999999999997"/>
    <x v="93"/>
    <n v="24"/>
    <n v="4.8000000000000007"/>
    <x v="1"/>
    <x v="1"/>
    <s v="CO"/>
  </r>
  <r>
    <s v="Jul"/>
    <n v="1095"/>
    <n v="7452"/>
    <s v="Chlorine Test Kit"/>
    <n v="6.66"/>
    <x v="94"/>
    <n v="74.87"/>
    <n v="14.974000000000002"/>
    <x v="3"/>
    <x v="3"/>
    <s v="CA"/>
  </r>
  <r>
    <s v="Jul"/>
    <n v="1096"/>
    <n v="7419"/>
    <s v="Chlorine Test Kit"/>
    <n v="39.04"/>
    <x v="95"/>
    <n v="78.390000000000015"/>
    <n v="15.678000000000004"/>
    <x v="1"/>
    <x v="1"/>
    <s v="AZ"/>
  </r>
  <r>
    <s v="Jul"/>
    <n v="1097"/>
    <n v="7386"/>
    <s v="Chlorine Test Kit"/>
    <n v="23.47"/>
    <x v="96"/>
    <n v="77.290000000000006"/>
    <n v="15.458000000000002"/>
    <x v="2"/>
    <x v="2"/>
    <s v="NM"/>
  </r>
  <r>
    <s v="Jul"/>
    <n v="1098"/>
    <n v="7353"/>
    <s v="8 ft Hose"/>
    <n v="23.88"/>
    <x v="97"/>
    <n v="44.160000000000011"/>
    <n v="8.8320000000000025"/>
    <x v="1"/>
    <x v="1"/>
    <s v="NM"/>
  </r>
  <r>
    <s v="Jul"/>
    <n v="1099"/>
    <n v="7320"/>
    <s v="Water Pump"/>
    <n v="24.67"/>
    <x v="98"/>
    <n v="87.28"/>
    <n v="17.456"/>
    <x v="3"/>
    <x v="3"/>
    <s v="CA"/>
  </r>
  <r>
    <s v="Jul"/>
    <n v="1100"/>
    <n v="7287"/>
    <s v="Leaf Skimmer"/>
    <n v="49.59"/>
    <x v="99"/>
    <n v="77.86"/>
    <n v="15.572000000000001"/>
    <x v="1"/>
    <x v="1"/>
    <s v="NM"/>
  </r>
  <r>
    <s v="Jul"/>
    <n v="1101"/>
    <n v="7254"/>
    <s v="8 ft Hose"/>
    <n v="49.14"/>
    <x v="100"/>
    <n v="56.5"/>
    <n v="11.3"/>
    <x v="3"/>
    <x v="3"/>
    <s v="NM"/>
  </r>
  <r>
    <s v="Jul"/>
    <n v="1102"/>
    <n v="7221"/>
    <s v="AluCover"/>
    <n v="13.51"/>
    <x v="101"/>
    <n v="8.9100000000000019"/>
    <n v="0.89100000000000024"/>
    <x v="2"/>
    <x v="2"/>
    <s v="NM"/>
  </r>
  <r>
    <s v="Jul"/>
    <n v="1103"/>
    <n v="7188"/>
    <s v="Chlorine Test Kit"/>
    <n v="21.8"/>
    <x v="102"/>
    <n v="66.59"/>
    <n v="13.318000000000001"/>
    <x v="1"/>
    <x v="1"/>
    <s v="CO"/>
  </r>
  <r>
    <s v="Jul"/>
    <n v="1104"/>
    <n v="7155"/>
    <s v="Water Pump"/>
    <n v="9.39"/>
    <x v="103"/>
    <n v="47.36"/>
    <n v="9.4719999999999995"/>
    <x v="0"/>
    <x v="0"/>
    <s v="NM"/>
  </r>
  <r>
    <s v="Jul"/>
    <n v="1105"/>
    <n v="7122"/>
    <s v="Pool Cover"/>
    <n v="22.15"/>
    <x v="104"/>
    <n v="35.82"/>
    <n v="7.1640000000000006"/>
    <x v="1"/>
    <x v="1"/>
    <s v="CA"/>
  </r>
  <r>
    <s v="Aug"/>
    <n v="1106"/>
    <n v="7089"/>
    <s v="Chlorine Test Kit"/>
    <n v="10.19"/>
    <x v="105"/>
    <n v="71.650000000000006"/>
    <n v="14.330000000000002"/>
    <x v="2"/>
    <x v="2"/>
    <s v="AZ"/>
  </r>
  <r>
    <s v="Aug"/>
    <n v="1107"/>
    <n v="7056"/>
    <s v="Pool Cover"/>
    <n v="29.67"/>
    <x v="106"/>
    <n v="99.749999999999986"/>
    <n v="19.95"/>
    <x v="1"/>
    <x v="1"/>
    <s v="NM"/>
  </r>
  <r>
    <s v="Aug"/>
    <n v="1108"/>
    <n v="7023"/>
    <s v="Leaf Skimmer"/>
    <n v="21.83"/>
    <x v="107"/>
    <n v="28.760000000000005"/>
    <n v="5.7520000000000016"/>
    <x v="1"/>
    <x v="1"/>
    <s v="NM"/>
  </r>
  <r>
    <s v="Aug"/>
    <n v="1109"/>
    <n v="6990"/>
    <s v="Pool Cover"/>
    <n v="48"/>
    <x v="108"/>
    <n v="46.81"/>
    <n v="9.3620000000000001"/>
    <x v="3"/>
    <x v="3"/>
    <s v="CO"/>
  </r>
  <r>
    <s v="Aug"/>
    <n v="1110"/>
    <n v="6957"/>
    <s v="21 Gal Muratic Acid"/>
    <n v="20.99"/>
    <x v="109"/>
    <n v="48.22"/>
    <n v="9.6440000000000001"/>
    <x v="3"/>
    <x v="3"/>
    <s v="AZ"/>
  </r>
  <r>
    <s v="Aug"/>
    <n v="1111"/>
    <n v="6924"/>
    <s v="Chlorine Test Kit"/>
    <n v="43.41"/>
    <x v="110"/>
    <n v="45.180000000000007"/>
    <n v="9.0360000000000014"/>
    <x v="0"/>
    <x v="0"/>
    <s v="CA"/>
  </r>
  <r>
    <s v="Aug"/>
    <n v="1112"/>
    <n v="6891"/>
    <s v="AluCover"/>
    <n v="10.95"/>
    <x v="111"/>
    <n v="12.600000000000001"/>
    <n v="1.2600000000000002"/>
    <x v="3"/>
    <x v="3"/>
    <s v="AZ"/>
  </r>
  <r>
    <s v="Aug"/>
    <n v="1113"/>
    <n v="6858"/>
    <s v="Chlorine Test Kit"/>
    <n v="37.130000000000003"/>
    <x v="112"/>
    <n v="9.0399999999999991"/>
    <n v="0.90399999999999991"/>
    <x v="1"/>
    <x v="1"/>
    <s v="CO"/>
  </r>
  <r>
    <s v="Aug"/>
    <n v="1114"/>
    <n v="6825"/>
    <s v="Chlorine Test Kit"/>
    <n v="30.36"/>
    <x v="113"/>
    <n v="91.41"/>
    <n v="18.282"/>
    <x v="2"/>
    <x v="2"/>
    <s v="AZ"/>
  </r>
  <r>
    <s v="Aug"/>
    <n v="1115"/>
    <n v="6792"/>
    <s v="Net"/>
    <n v="28.31"/>
    <x v="114"/>
    <n v="76.149999999999991"/>
    <n v="15.229999999999999"/>
    <x v="3"/>
    <x v="3"/>
    <s v="CO"/>
  </r>
  <r>
    <s v="Aug"/>
    <n v="1116"/>
    <n v="6759"/>
    <s v="Water Pump"/>
    <n v="25.38"/>
    <x v="115"/>
    <n v="99.87"/>
    <n v="19.974000000000004"/>
    <x v="1"/>
    <x v="1"/>
    <s v="CO"/>
  </r>
  <r>
    <s v="Aug"/>
    <n v="1117"/>
    <n v="6726"/>
    <s v="AluCover"/>
    <n v="25.61"/>
    <x v="116"/>
    <n v="94.49"/>
    <n v="18.898"/>
    <x v="1"/>
    <x v="1"/>
    <s v="CO"/>
  </r>
  <r>
    <s v="Aug"/>
    <n v="1118"/>
    <n v="6693"/>
    <s v="AluCover"/>
    <n v="14.55"/>
    <x v="117"/>
    <n v="22.51"/>
    <n v="2.2510000000000003"/>
    <x v="1"/>
    <x v="1"/>
    <s v="CA"/>
  </r>
  <r>
    <s v="Aug"/>
    <n v="1119"/>
    <n v="6660"/>
    <s v="Net"/>
    <n v="37.1"/>
    <x v="118"/>
    <n v="9.9799999999999969"/>
    <n v="0.99799999999999978"/>
    <x v="1"/>
    <x v="1"/>
    <s v="CO"/>
  </r>
  <r>
    <s v="Aug"/>
    <n v="1120"/>
    <n v="6627"/>
    <s v="Leaf Skimmer"/>
    <n v="24.3"/>
    <x v="119"/>
    <n v="97.4"/>
    <n v="19.480000000000004"/>
    <x v="1"/>
    <x v="1"/>
    <s v="CO"/>
  </r>
  <r>
    <s v="Sep"/>
    <n v="1121"/>
    <n v="6594"/>
    <s v="AluCover"/>
    <n v="10.4"/>
    <x v="120"/>
    <n v="95.36999999999999"/>
    <n v="19.073999999999998"/>
    <x v="3"/>
    <x v="3"/>
    <s v="AZ"/>
  </r>
  <r>
    <s v="Sep"/>
    <n v="1122"/>
    <n v="6561"/>
    <s v="8 ft Hose"/>
    <n v="20.59"/>
    <x v="121"/>
    <n v="43.759999999999991"/>
    <n v="8.7519999999999989"/>
    <x v="1"/>
    <x v="1"/>
    <s v="CO"/>
  </r>
  <r>
    <s v="Sep"/>
    <n v="1123"/>
    <n v="6528"/>
    <s v="Chlorine Test Kit"/>
    <n v="49.82"/>
    <x v="122"/>
    <n v="56.589999999999996"/>
    <n v="11.318"/>
    <x v="0"/>
    <x v="0"/>
    <s v="CO"/>
  </r>
  <r>
    <s v="Sep"/>
    <n v="1124"/>
    <n v="6495"/>
    <s v="AluCover"/>
    <n v="18.88"/>
    <x v="123"/>
    <n v="21.669999999999998"/>
    <n v="2.1669999999999998"/>
    <x v="1"/>
    <x v="1"/>
    <s v="CO"/>
  </r>
  <r>
    <s v="Sep"/>
    <n v="1125"/>
    <n v="6462"/>
    <s v="Water Pump"/>
    <n v="49.03"/>
    <x v="124"/>
    <n v="97.06"/>
    <n v="19.412000000000003"/>
    <x v="3"/>
    <x v="3"/>
    <s v="NM"/>
  </r>
  <r>
    <s v="Sep"/>
    <n v="1126"/>
    <n v="6429"/>
    <s v="Chlorine Test Kit"/>
    <n v="14.7"/>
    <x v="125"/>
    <n v="69.61"/>
    <n v="13.922000000000001"/>
    <x v="0"/>
    <x v="0"/>
    <s v="NM"/>
  </r>
  <r>
    <s v="Sep"/>
    <n v="1127"/>
    <n v="6396"/>
    <s v="Chlorine Test Kit"/>
    <n v="26.44"/>
    <x v="126"/>
    <n v="39.379999999999995"/>
    <n v="7.8759999999999994"/>
    <x v="3"/>
    <x v="3"/>
    <s v="NM"/>
  </r>
  <r>
    <s v="Sep"/>
    <n v="1128"/>
    <n v="6363"/>
    <s v="Pool Cover"/>
    <n v="7.02"/>
    <x v="127"/>
    <n v="64.930000000000007"/>
    <n v="12.986000000000002"/>
    <x v="3"/>
    <x v="3"/>
    <s v="AZ"/>
  </r>
  <r>
    <s v="Sep"/>
    <n v="1129"/>
    <n v="6330"/>
    <s v="AluCover"/>
    <n v="28.41"/>
    <x v="128"/>
    <n v="42.540000000000006"/>
    <n v="8.5080000000000009"/>
    <x v="1"/>
    <x v="1"/>
    <s v="NM"/>
  </r>
  <r>
    <s v="Sep"/>
    <n v="1130"/>
    <n v="6297"/>
    <s v="AluCover"/>
    <n v="16.32"/>
    <x v="129"/>
    <n v="94.63"/>
    <n v="18.925999999999998"/>
    <x v="1"/>
    <x v="1"/>
    <s v="CO"/>
  </r>
  <r>
    <s v="Sep"/>
    <n v="1131"/>
    <n v="6264"/>
    <s v="Chemical Feeder"/>
    <n v="14.85"/>
    <x v="130"/>
    <n v="40.799999999999997"/>
    <n v="8.16"/>
    <x v="0"/>
    <x v="0"/>
    <s v="AZ"/>
  </r>
  <r>
    <s v="Sep"/>
    <n v="1132"/>
    <n v="6231"/>
    <s v="Water Pump"/>
    <n v="13.9"/>
    <x v="131"/>
    <n v="95.86999999999999"/>
    <n v="19.173999999999999"/>
    <x v="3"/>
    <x v="3"/>
    <s v="AZ"/>
  </r>
  <r>
    <s v="Sep"/>
    <n v="1133"/>
    <n v="6198"/>
    <s v="8 ft Hose"/>
    <n v="25.8"/>
    <x v="132"/>
    <n v="49.38000000000001"/>
    <n v="9.876000000000003"/>
    <x v="0"/>
    <x v="0"/>
    <s v="NM"/>
  </r>
  <r>
    <s v="Sep"/>
    <n v="1134"/>
    <n v="6165"/>
    <s v="Net"/>
    <n v="31.23"/>
    <x v="133"/>
    <n v="62.17"/>
    <n v="12.434000000000001"/>
    <x v="2"/>
    <x v="2"/>
    <s v="CO"/>
  </r>
  <r>
    <s v="Oct"/>
    <n v="1135"/>
    <n v="6132"/>
    <s v="Pump Motor"/>
    <n v="5.85"/>
    <x v="134"/>
    <n v="8.01"/>
    <n v="0.80100000000000005"/>
    <x v="3"/>
    <x v="3"/>
    <s v="NM"/>
  </r>
  <r>
    <s v="Oct"/>
    <n v="1136"/>
    <n v="6099"/>
    <s v="21 Gal Muratic Acid"/>
    <n v="31.69"/>
    <x v="135"/>
    <n v="30.31"/>
    <n v="6.0620000000000003"/>
    <x v="0"/>
    <x v="0"/>
    <s v="NM"/>
  </r>
  <r>
    <s v="Oct"/>
    <n v="1137"/>
    <n v="6066"/>
    <s v="Water Pump"/>
    <n v="30.05"/>
    <x v="136"/>
    <n v="71.23"/>
    <n v="14.246000000000002"/>
    <x v="2"/>
    <x v="2"/>
    <s v="AZ"/>
  </r>
  <r>
    <s v="Oct"/>
    <n v="1138"/>
    <n v="6033"/>
    <s v="Chlorine Test Kit"/>
    <n v="22.25"/>
    <x v="137"/>
    <n v="30.4"/>
    <n v="6.08"/>
    <x v="2"/>
    <x v="2"/>
    <s v="AZ"/>
  </r>
  <r>
    <s v="Oct"/>
    <n v="1139"/>
    <n v="6000"/>
    <s v="8 ft Hose"/>
    <n v="32.32"/>
    <x v="138"/>
    <n v="41.49"/>
    <n v="8.298"/>
    <x v="2"/>
    <x v="2"/>
    <s v="AZ"/>
  </r>
  <r>
    <s v="Oct"/>
    <n v="1140"/>
    <n v="5967"/>
    <s v="Skimmer"/>
    <n v="22.5"/>
    <x v="139"/>
    <n v="77.33"/>
    <n v="15.466000000000001"/>
    <x v="1"/>
    <x v="1"/>
    <s v="NM"/>
  </r>
  <r>
    <s v="Oct"/>
    <n v="1141"/>
    <n v="5934"/>
    <s v="Water Pump"/>
    <n v="33.06"/>
    <x v="140"/>
    <n v="44.230000000000004"/>
    <n v="8.8460000000000019"/>
    <x v="1"/>
    <x v="1"/>
    <s v="NM"/>
  </r>
  <r>
    <s v="Oct"/>
    <n v="1142"/>
    <n v="5901"/>
    <s v="21 Gal Muratic Acid"/>
    <n v="21.85"/>
    <x v="141"/>
    <n v="28.93"/>
    <n v="5.7860000000000005"/>
    <x v="3"/>
    <x v="3"/>
    <s v="CO"/>
  </r>
  <r>
    <s v="Oct"/>
    <n v="1143"/>
    <n v="5868"/>
    <s v="Skimmer"/>
    <n v="8.41"/>
    <x v="142"/>
    <n v="61.36"/>
    <n v="12.272"/>
    <x v="2"/>
    <x v="2"/>
    <s v="CO"/>
  </r>
  <r>
    <s v="Oct"/>
    <n v="1144"/>
    <n v="5835"/>
    <s v="Water Pump"/>
    <n v="36.090000000000003"/>
    <x v="143"/>
    <n v="29.700000000000003"/>
    <n v="5.9400000000000013"/>
    <x v="0"/>
    <x v="0"/>
    <s v="AZ"/>
  </r>
  <r>
    <s v="Oct"/>
    <n v="1145"/>
    <n v="5802"/>
    <s v="Chlorine Test Kit"/>
    <n v="20.72"/>
    <x v="144"/>
    <n v="79.47"/>
    <n v="15.894"/>
    <x v="3"/>
    <x v="3"/>
    <s v="AZ"/>
  </r>
  <r>
    <s v="Oct"/>
    <n v="1146"/>
    <n v="5769"/>
    <s v="Pool Cover"/>
    <n v="29.81"/>
    <x v="145"/>
    <n v="31.780000000000005"/>
    <n v="6.3560000000000016"/>
    <x v="1"/>
    <x v="1"/>
    <s v="CA"/>
  </r>
  <r>
    <s v="Oct"/>
    <n v="1147"/>
    <n v="5736"/>
    <s v="Pool Cover"/>
    <n v="29.78"/>
    <x v="146"/>
    <n v="15.799999999999997"/>
    <n v="1.5799999999999998"/>
    <x v="3"/>
    <x v="3"/>
    <s v="CO"/>
  </r>
  <r>
    <s v="Oct"/>
    <n v="1148"/>
    <n v="5703"/>
    <s v="Net"/>
    <n v="6.63"/>
    <x v="147"/>
    <n v="49.69"/>
    <n v="9.9380000000000006"/>
    <x v="1"/>
    <x v="1"/>
    <s v="AZ"/>
  </r>
  <r>
    <s v="Nov"/>
    <n v="1149"/>
    <n v="5670"/>
    <s v="Chemical Feeder"/>
    <n v="42.48"/>
    <x v="148"/>
    <n v="93.53"/>
    <n v="18.706"/>
    <x v="1"/>
    <x v="1"/>
    <s v="AZ"/>
  </r>
  <r>
    <s v="Nov"/>
    <n v="1150"/>
    <n v="5637"/>
    <s v="Pump Motor"/>
    <n v="46.82"/>
    <x v="149"/>
    <n v="15.270000000000003"/>
    <n v="3.0540000000000007"/>
    <x v="3"/>
    <x v="3"/>
    <s v="AZ"/>
  </r>
  <r>
    <s v="Nov"/>
    <n v="1151"/>
    <n v="5604"/>
    <s v="Skimmer"/>
    <n v="8.2100000000000009"/>
    <x v="150"/>
    <n v="92.449999999999989"/>
    <n v="18.489999999999998"/>
    <x v="1"/>
    <x v="1"/>
    <s v="NM"/>
  </r>
  <r>
    <s v="Nov"/>
    <n v="1152"/>
    <n v="5571"/>
    <s v="Net"/>
    <n v="7.8"/>
    <x v="151"/>
    <n v="85.320000000000007"/>
    <n v="17.064000000000004"/>
    <x v="2"/>
    <x v="2"/>
    <s v="NM"/>
  </r>
  <r>
    <s v="Nov"/>
    <n v="1153"/>
    <n v="5538"/>
    <s v="Pool Cover"/>
    <n v="25.31"/>
    <x v="152"/>
    <n v="13.010000000000002"/>
    <n v="1.3010000000000002"/>
    <x v="0"/>
    <x v="0"/>
    <s v="CA"/>
  </r>
  <r>
    <s v="Nov"/>
    <n v="1154"/>
    <n v="5505"/>
    <s v="Chemical Feeder"/>
    <n v="46.37"/>
    <x v="153"/>
    <n v="74.59"/>
    <n v="14.918000000000001"/>
    <x v="1"/>
    <x v="1"/>
    <s v="NM"/>
  </r>
  <r>
    <s v="Nov"/>
    <n v="1155"/>
    <n v="5472"/>
    <s v="Chemical Feeder"/>
    <n v="36.21"/>
    <x v="154"/>
    <n v="14.810000000000002"/>
    <n v="2.9620000000000006"/>
    <x v="0"/>
    <x v="0"/>
    <s v="CA"/>
  </r>
  <r>
    <s v="Nov"/>
    <n v="1156"/>
    <n v="5439"/>
    <s v="Pool Cover"/>
    <n v="40.270000000000003"/>
    <x v="155"/>
    <n v="77.799999999999983"/>
    <n v="15.559999999999997"/>
    <x v="1"/>
    <x v="1"/>
    <s v="NM"/>
  </r>
  <r>
    <s v="Nov"/>
    <n v="1157"/>
    <n v="5406"/>
    <s v="AluCover"/>
    <n v="23.55"/>
    <x v="156"/>
    <n v="40.08"/>
    <n v="8.016"/>
    <x v="3"/>
    <x v="3"/>
    <s v="AZ"/>
  </r>
  <r>
    <s v="Nov"/>
    <n v="1158"/>
    <n v="5373"/>
    <s v="21 Gal Muratic Acid"/>
    <n v="45.6"/>
    <x v="157"/>
    <n v="78.359999999999985"/>
    <n v="15.671999999999997"/>
    <x v="2"/>
    <x v="2"/>
    <s v="NM"/>
  </r>
  <r>
    <s v="Nov"/>
    <n v="1159"/>
    <n v="5340"/>
    <s v="Net"/>
    <n v="25.18"/>
    <x v="158"/>
    <n v="96.419999999999987"/>
    <n v="19.283999999999999"/>
    <x v="2"/>
    <x v="2"/>
    <s v="NM"/>
  </r>
  <r>
    <s v="Nov"/>
    <n v="1160"/>
    <n v="5307"/>
    <s v="Net"/>
    <n v="44.38"/>
    <x v="159"/>
    <n v="6.3299999999999983"/>
    <n v="1.2659999999999998"/>
    <x v="0"/>
    <x v="0"/>
    <s v="CA"/>
  </r>
  <r>
    <s v="Nov"/>
    <n v="1161"/>
    <n v="5274"/>
    <s v="Chemical Feeder"/>
    <n v="9.44"/>
    <x v="160"/>
    <n v="6.9100000000000019"/>
    <n v="0.69100000000000028"/>
    <x v="3"/>
    <x v="3"/>
    <s v="CA"/>
  </r>
  <r>
    <s v="Nov"/>
    <n v="1162"/>
    <n v="5241"/>
    <s v="Net"/>
    <n v="44.74"/>
    <x v="161"/>
    <n v="95.88"/>
    <n v="19.175999999999998"/>
    <x v="1"/>
    <x v="1"/>
    <s v="CO"/>
  </r>
  <r>
    <s v="Dec"/>
    <n v="1163"/>
    <n v="5208"/>
    <s v="Skimmer"/>
    <n v="30.47"/>
    <x v="162"/>
    <n v="27.910000000000004"/>
    <n v="5.5820000000000007"/>
    <x v="3"/>
    <x v="3"/>
    <s v="CA"/>
  </r>
  <r>
    <s v="Dec"/>
    <n v="1164"/>
    <n v="5175"/>
    <s v="Net"/>
    <n v="35.159999999999997"/>
    <x v="163"/>
    <n v="88.740000000000009"/>
    <n v="17.748000000000001"/>
    <x v="1"/>
    <x v="1"/>
    <s v="CO"/>
  </r>
  <r>
    <s v="Dec"/>
    <n v="1165"/>
    <n v="5142"/>
    <s v="8 ft Hose"/>
    <n v="23.4"/>
    <x v="164"/>
    <n v="47.4"/>
    <n v="9.48"/>
    <x v="2"/>
    <x v="2"/>
    <s v="CA"/>
  </r>
  <r>
    <s v="Dec"/>
    <n v="1166"/>
    <n v="5109"/>
    <s v="8 ft Hose"/>
    <n v="31.32"/>
    <x v="165"/>
    <n v="91.389999999999986"/>
    <n v="18.277999999999999"/>
    <x v="1"/>
    <x v="1"/>
    <s v="CO"/>
  </r>
  <r>
    <s v="Dec"/>
    <n v="1167"/>
    <n v="5076"/>
    <s v="Skimmer"/>
    <n v="36.909999999999997"/>
    <x v="166"/>
    <n v="7.4500000000000028"/>
    <n v="0.74500000000000033"/>
    <x v="1"/>
    <x v="1"/>
    <s v="NM"/>
  </r>
  <r>
    <s v="Dec"/>
    <n v="1168"/>
    <n v="5043"/>
    <s v="AluCover"/>
    <n v="42.06"/>
    <x v="167"/>
    <n v="74.7"/>
    <n v="14.940000000000001"/>
    <x v="3"/>
    <x v="3"/>
    <s v="CO"/>
  </r>
  <r>
    <s v="Dec"/>
    <n v="1169"/>
    <n v="5010"/>
    <s v="AluCover"/>
    <n v="42.62"/>
    <x v="168"/>
    <n v="17.5"/>
    <n v="3.5"/>
    <x v="3"/>
    <x v="3"/>
    <s v="CO"/>
  </r>
  <r>
    <s v="Dec"/>
    <n v="1170"/>
    <n v="4977"/>
    <s v="8 ft Hose"/>
    <n v="33.71"/>
    <x v="169"/>
    <n v="21.769999999999996"/>
    <n v="4.3539999999999992"/>
    <x v="3"/>
    <x v="3"/>
    <s v="CA"/>
  </r>
  <r>
    <s v="Dec"/>
    <n v="1171"/>
    <n v="4944"/>
    <s v="Net"/>
    <n v="49.91"/>
    <x v="170"/>
    <n v="21.36"/>
    <n v="4.2720000000000002"/>
    <x v="2"/>
    <x v="2"/>
    <s v="AZ"/>
  </r>
  <r>
    <s v="Dec"/>
    <n v="1172"/>
    <n v="4911"/>
    <s v="8 ft Hose"/>
    <n v="30.42"/>
    <x v="171"/>
    <n v="6.6000000000000014"/>
    <n v="0.66000000000000014"/>
    <x v="1"/>
    <x v="1"/>
    <s v="CA"/>
  </r>
  <r>
    <s v="Dec"/>
    <n v="1173"/>
    <n v="4878"/>
    <s v="Leaf Skimmer"/>
    <n v="9.57"/>
    <x v="172"/>
    <n v="31.229999999999997"/>
    <n v="3.1229999999999998"/>
    <x v="1"/>
    <x v="1"/>
    <s v="CO"/>
  </r>
  <r>
    <s v="Dec"/>
    <n v="1174"/>
    <n v="4845"/>
    <s v="Net"/>
    <n v="30.93"/>
    <x v="173"/>
    <n v="87.169999999999987"/>
    <n v="17.433999999999997"/>
    <x v="3"/>
    <x v="3"/>
    <s v="CA"/>
  </r>
  <r>
    <s v="Dec"/>
    <n v="1175"/>
    <n v="4812"/>
    <s v="Skimmer"/>
    <n v="7.29"/>
    <x v="174"/>
    <n v="26.630000000000003"/>
    <n v="2.6630000000000003"/>
    <x v="0"/>
    <x v="0"/>
    <s v="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8E94D-4915-48F7-A11F-23039CC1710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1">
    <pivotField showAll="0"/>
    <pivotField numFmtId="3" showAll="0"/>
    <pivotField showAll="0"/>
    <pivotField showAll="0"/>
    <pivotField numFmtId="164" showAll="0"/>
    <pivotField dataField="1" numFmtId="164" showAll="0">
      <items count="176">
        <item x="134"/>
        <item x="160"/>
        <item x="53"/>
        <item x="18"/>
        <item x="101"/>
        <item x="58"/>
        <item x="111"/>
        <item x="30"/>
        <item x="174"/>
        <item x="92"/>
        <item x="80"/>
        <item x="60"/>
        <item x="171"/>
        <item x="117"/>
        <item x="16"/>
        <item x="152"/>
        <item x="84"/>
        <item x="123"/>
        <item x="172"/>
        <item x="22"/>
        <item x="11"/>
        <item x="15"/>
        <item x="166"/>
        <item x="146"/>
        <item x="54"/>
        <item x="0"/>
        <item x="112"/>
        <item x="118"/>
        <item x="21"/>
        <item x="5"/>
        <item x="55"/>
        <item x="107"/>
        <item x="159"/>
        <item x="141"/>
        <item x="154"/>
        <item x="17"/>
        <item x="137"/>
        <item x="78"/>
        <item x="34"/>
        <item x="56"/>
        <item x="169"/>
        <item x="130"/>
        <item x="147"/>
        <item x="103"/>
        <item x="12"/>
        <item x="2"/>
        <item x="104"/>
        <item x="65"/>
        <item x="162"/>
        <item x="168"/>
        <item x="62"/>
        <item x="145"/>
        <item x="135"/>
        <item x="51"/>
        <item x="149"/>
        <item x="33"/>
        <item x="93"/>
        <item x="46"/>
        <item x="156"/>
        <item x="121"/>
        <item x="4"/>
        <item x="143"/>
        <item x="126"/>
        <item x="52"/>
        <item x="74"/>
        <item x="97"/>
        <item x="24"/>
        <item x="109"/>
        <item x="79"/>
        <item x="13"/>
        <item x="142"/>
        <item x="6"/>
        <item x="75"/>
        <item x="164"/>
        <item x="128"/>
        <item x="170"/>
        <item x="1"/>
        <item x="127"/>
        <item x="48"/>
        <item x="138"/>
        <item x="19"/>
        <item x="73"/>
        <item x="132"/>
        <item x="9"/>
        <item x="140"/>
        <item x="86"/>
        <item x="14"/>
        <item x="3"/>
        <item x="27"/>
        <item x="69"/>
        <item x="71"/>
        <item x="94"/>
        <item x="105"/>
        <item x="91"/>
        <item x="88"/>
        <item x="57"/>
        <item x="81"/>
        <item x="83"/>
        <item x="125"/>
        <item x="31"/>
        <item x="61"/>
        <item x="10"/>
        <item x="35"/>
        <item x="67"/>
        <item x="76"/>
        <item x="39"/>
        <item x="102"/>
        <item x="110"/>
        <item x="28"/>
        <item x="59"/>
        <item x="49"/>
        <item x="7"/>
        <item x="151"/>
        <item x="133"/>
        <item x="41"/>
        <item x="64"/>
        <item x="108"/>
        <item x="45"/>
        <item x="43"/>
        <item x="29"/>
        <item x="38"/>
        <item x="139"/>
        <item x="144"/>
        <item x="150"/>
        <item x="96"/>
        <item x="136"/>
        <item x="85"/>
        <item x="32"/>
        <item x="114"/>
        <item x="50"/>
        <item x="100"/>
        <item x="120"/>
        <item x="25"/>
        <item x="122"/>
        <item x="37"/>
        <item x="72"/>
        <item x="77"/>
        <item x="20"/>
        <item x="131"/>
        <item x="87"/>
        <item x="129"/>
        <item x="98"/>
        <item x="70"/>
        <item x="47"/>
        <item x="23"/>
        <item x="90"/>
        <item x="63"/>
        <item x="167"/>
        <item x="95"/>
        <item x="155"/>
        <item x="173"/>
        <item x="42"/>
        <item x="116"/>
        <item x="40"/>
        <item x="153"/>
        <item x="158"/>
        <item x="119"/>
        <item x="113"/>
        <item x="165"/>
        <item x="163"/>
        <item x="157"/>
        <item x="115"/>
        <item x="68"/>
        <item x="44"/>
        <item x="26"/>
        <item x="99"/>
        <item x="8"/>
        <item x="106"/>
        <item x="148"/>
        <item x="89"/>
        <item x="36"/>
        <item x="161"/>
        <item x="82"/>
        <item x="66"/>
        <item x="124"/>
        <item t="default"/>
      </items>
    </pivotField>
    <pivotField numFmtId="164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4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2E5A3-33D9-4821-B58C-9BAC13755CA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1">
    <pivotField showAll="0"/>
    <pivotField numFmtId="3" showAll="0"/>
    <pivotField showAll="0"/>
    <pivotField showAll="0"/>
    <pivotField numFmtId="164" showAll="0"/>
    <pivotField numFmtId="164" showAll="0"/>
    <pivotField numFmtId="164"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mmision 10% for items less than £50. 20% for items more than £50" fld="7" baseField="0" baseItem="0"/>
  </dataFields>
  <formats count="1">
    <format dxfId="0">
      <pivotArea collapsedLevelsAreSubtotals="1" fieldPosition="0">
        <references count="1">
          <reference field="8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F34F-D6AA-4099-BCFF-1070B0318E69}">
  <sheetPr>
    <pageSetUpPr fitToPage="1"/>
  </sheetPr>
  <dimension ref="A1:B8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21" customWidth="1"/>
    <col min="3" max="123" width="6.5703125" bestFit="1" customWidth="1"/>
    <col min="124" max="176" width="7.5703125" bestFit="1" customWidth="1"/>
    <col min="177" max="177" width="11.28515625" bestFit="1" customWidth="1"/>
  </cols>
  <sheetData>
    <row r="1" spans="1:2" x14ac:dyDescent="0.25">
      <c r="A1" t="s">
        <v>61</v>
      </c>
    </row>
    <row r="3" spans="1:2" x14ac:dyDescent="0.25">
      <c r="A3" s="7" t="s">
        <v>58</v>
      </c>
      <c r="B3" t="s">
        <v>60</v>
      </c>
    </row>
    <row r="4" spans="1:2" x14ac:dyDescent="0.25">
      <c r="A4" s="8" t="s">
        <v>40</v>
      </c>
      <c r="B4" s="2">
        <v>2924.54</v>
      </c>
    </row>
    <row r="5" spans="1:2" x14ac:dyDescent="0.25">
      <c r="A5" s="8" t="s">
        <v>38</v>
      </c>
      <c r="B5" s="2">
        <v>4579.33</v>
      </c>
    </row>
    <row r="6" spans="1:2" x14ac:dyDescent="0.25">
      <c r="A6" s="8" t="s">
        <v>42</v>
      </c>
      <c r="B6" s="2">
        <v>3350.0200000000009</v>
      </c>
    </row>
    <row r="7" spans="1:2" x14ac:dyDescent="0.25">
      <c r="A7" s="8" t="s">
        <v>36</v>
      </c>
      <c r="B7" s="2">
        <v>3189.5700000000006</v>
      </c>
    </row>
    <row r="8" spans="1:2" x14ac:dyDescent="0.25">
      <c r="A8" s="8" t="s">
        <v>59</v>
      </c>
      <c r="B8" s="2">
        <v>14043.460000000003</v>
      </c>
    </row>
  </sheetData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50A-769F-490F-A2C7-EC38516AA97E}">
  <dimension ref="A3:B8"/>
  <sheetViews>
    <sheetView tabSelected="1" workbookViewId="0">
      <selection activeCell="L7" sqref="L7"/>
    </sheetView>
  </sheetViews>
  <sheetFormatPr defaultRowHeight="15" x14ac:dyDescent="0.25"/>
  <cols>
    <col min="1" max="1" width="13.140625" bestFit="1" customWidth="1"/>
    <col min="2" max="2" width="69.7109375" bestFit="1" customWidth="1"/>
  </cols>
  <sheetData>
    <row r="3" spans="1:2" x14ac:dyDescent="0.25">
      <c r="A3" s="7" t="s">
        <v>58</v>
      </c>
      <c r="B3" t="s">
        <v>62</v>
      </c>
    </row>
    <row r="4" spans="1:2" x14ac:dyDescent="0.25">
      <c r="A4" s="8" t="s">
        <v>40</v>
      </c>
      <c r="B4" s="2">
        <v>376.065</v>
      </c>
    </row>
    <row r="5" spans="1:2" x14ac:dyDescent="0.25">
      <c r="A5" s="8" t="s">
        <v>38</v>
      </c>
      <c r="B5" s="2">
        <v>581.548</v>
      </c>
    </row>
    <row r="6" spans="1:2" x14ac:dyDescent="0.25">
      <c r="A6" s="8" t="s">
        <v>42</v>
      </c>
      <c r="B6" s="2">
        <v>437.03399999999988</v>
      </c>
    </row>
    <row r="7" spans="1:2" x14ac:dyDescent="0.25">
      <c r="A7" s="8" t="s">
        <v>36</v>
      </c>
      <c r="B7" s="2">
        <v>394.51000000000005</v>
      </c>
    </row>
    <row r="8" spans="1:2" x14ac:dyDescent="0.25">
      <c r="A8" s="8" t="s">
        <v>59</v>
      </c>
      <c r="B8" s="9">
        <v>1789.1569999999999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zoomScaleNormal="100" workbookViewId="0">
      <pane ySplit="1" topLeftCell="A164" activePane="bottomLeft" state="frozen"/>
      <selection pane="bottomLeft" activeCell="A2" sqref="A2:K176"/>
    </sheetView>
  </sheetViews>
  <sheetFormatPr defaultRowHeight="15" x14ac:dyDescent="0.25"/>
  <cols>
    <col min="2" max="2" width="13.140625" customWidth="1"/>
    <col min="3" max="3" width="14.85546875" customWidth="1"/>
    <col min="4" max="4" width="18.5703125" customWidth="1"/>
    <col min="5" max="5" width="11.5703125" customWidth="1"/>
    <col min="6" max="6" width="12.28515625" customWidth="1"/>
    <col min="8" max="8" width="16.7109375" customWidth="1"/>
    <col min="9" max="10" width="13.7109375" customWidth="1"/>
    <col min="11" max="11" width="14.28515625" customWidth="1"/>
    <col min="13" max="13" width="40.7109375" customWidth="1"/>
    <col min="14" max="14" width="14.42578125" customWidth="1"/>
  </cols>
  <sheetData>
    <row r="1" spans="1:14" ht="75" x14ac:dyDescent="0.25">
      <c r="A1" s="3" t="s">
        <v>0</v>
      </c>
      <c r="B1" s="4" t="s">
        <v>34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29</v>
      </c>
      <c r="H1" s="4" t="s">
        <v>35</v>
      </c>
      <c r="I1" s="4" t="s">
        <v>44</v>
      </c>
      <c r="J1" s="4" t="s">
        <v>45</v>
      </c>
      <c r="K1" s="4" t="s">
        <v>17</v>
      </c>
      <c r="M1" s="6" t="s">
        <v>46</v>
      </c>
      <c r="N1" s="5"/>
    </row>
    <row r="2" spans="1:14" x14ac:dyDescent="0.25">
      <c r="A2" t="s">
        <v>1</v>
      </c>
      <c r="B2" s="1">
        <v>1001</v>
      </c>
      <c r="C2">
        <v>9882</v>
      </c>
      <c r="D2" t="s">
        <v>18</v>
      </c>
      <c r="E2" s="2">
        <v>9.5299999999999994</v>
      </c>
      <c r="F2" s="2">
        <v>46.04</v>
      </c>
      <c r="G2" s="2">
        <f t="shared" ref="G2:G33" si="0">F2-E2</f>
        <v>36.51</v>
      </c>
      <c r="H2">
        <f t="shared" ref="H2:H33" si="1">IF(F2&gt;50,G2*0.2,G2*0.1)</f>
        <v>3.6509999999999998</v>
      </c>
      <c r="I2" t="s">
        <v>36</v>
      </c>
      <c r="J2" t="s">
        <v>37</v>
      </c>
      <c r="K2" t="s">
        <v>30</v>
      </c>
      <c r="M2" t="s">
        <v>47</v>
      </c>
    </row>
    <row r="3" spans="1:14" x14ac:dyDescent="0.25">
      <c r="A3" t="s">
        <v>1</v>
      </c>
      <c r="B3" s="1">
        <f t="shared" ref="B3:B34" si="2">B2+1</f>
        <v>1002</v>
      </c>
      <c r="C3">
        <f t="shared" ref="C3:C14" si="3">C2+23</f>
        <v>9905</v>
      </c>
      <c r="D3" t="s">
        <v>19</v>
      </c>
      <c r="E3" s="2">
        <v>36.090000000000003</v>
      </c>
      <c r="F3" s="2">
        <v>71.39</v>
      </c>
      <c r="G3" s="2">
        <f t="shared" si="0"/>
        <v>35.299999999999997</v>
      </c>
      <c r="H3">
        <f t="shared" si="1"/>
        <v>7.06</v>
      </c>
      <c r="I3" t="s">
        <v>38</v>
      </c>
      <c r="J3" t="s">
        <v>39</v>
      </c>
      <c r="K3" t="s">
        <v>31</v>
      </c>
      <c r="M3" t="s">
        <v>48</v>
      </c>
    </row>
    <row r="4" spans="1:14" x14ac:dyDescent="0.25">
      <c r="A4" t="s">
        <v>1</v>
      </c>
      <c r="B4" s="1">
        <f t="shared" si="2"/>
        <v>1003</v>
      </c>
      <c r="C4">
        <f t="shared" si="3"/>
        <v>9928</v>
      </c>
      <c r="D4" t="s">
        <v>20</v>
      </c>
      <c r="E4" s="2">
        <v>9.42</v>
      </c>
      <c r="F4" s="2">
        <v>57.21</v>
      </c>
      <c r="G4" s="2">
        <f t="shared" si="0"/>
        <v>47.79</v>
      </c>
      <c r="H4">
        <f t="shared" si="1"/>
        <v>9.5579999999999998</v>
      </c>
      <c r="I4" t="s">
        <v>40</v>
      </c>
      <c r="J4" t="s">
        <v>41</v>
      </c>
      <c r="K4" t="s">
        <v>30</v>
      </c>
      <c r="M4" t="s">
        <v>49</v>
      </c>
    </row>
    <row r="5" spans="1:14" x14ac:dyDescent="0.25">
      <c r="A5" t="s">
        <v>1</v>
      </c>
      <c r="B5" s="1">
        <f t="shared" si="2"/>
        <v>1004</v>
      </c>
      <c r="C5">
        <f t="shared" si="3"/>
        <v>9951</v>
      </c>
      <c r="D5" t="s">
        <v>21</v>
      </c>
      <c r="E5" s="2">
        <v>36.46</v>
      </c>
      <c r="F5" s="2">
        <v>78.92</v>
      </c>
      <c r="G5" s="2">
        <f t="shared" si="0"/>
        <v>42.46</v>
      </c>
      <c r="H5">
        <f t="shared" si="1"/>
        <v>8.4920000000000009</v>
      </c>
      <c r="I5" t="s">
        <v>36</v>
      </c>
      <c r="J5" t="s">
        <v>37</v>
      </c>
      <c r="K5" t="s">
        <v>32</v>
      </c>
      <c r="M5" t="s">
        <v>50</v>
      </c>
    </row>
    <row r="6" spans="1:14" x14ac:dyDescent="0.25">
      <c r="A6" t="s">
        <v>1</v>
      </c>
      <c r="B6" s="1">
        <f t="shared" si="2"/>
        <v>1005</v>
      </c>
      <c r="C6">
        <f t="shared" si="3"/>
        <v>9974</v>
      </c>
      <c r="D6" t="s">
        <v>21</v>
      </c>
      <c r="E6" s="2">
        <v>34.479999999999997</v>
      </c>
      <c r="F6" s="2">
        <v>64.97</v>
      </c>
      <c r="G6" s="2">
        <f t="shared" si="0"/>
        <v>30.490000000000002</v>
      </c>
      <c r="H6">
        <f t="shared" si="1"/>
        <v>6.0980000000000008</v>
      </c>
      <c r="I6" t="s">
        <v>40</v>
      </c>
      <c r="J6" t="s">
        <v>41</v>
      </c>
      <c r="K6" t="s">
        <v>31</v>
      </c>
      <c r="M6" t="s">
        <v>51</v>
      </c>
    </row>
    <row r="7" spans="1:14" x14ac:dyDescent="0.25">
      <c r="A7" t="s">
        <v>1</v>
      </c>
      <c r="B7" s="1">
        <f t="shared" si="2"/>
        <v>1006</v>
      </c>
      <c r="C7">
        <f t="shared" si="3"/>
        <v>9997</v>
      </c>
      <c r="D7" t="s">
        <v>22</v>
      </c>
      <c r="E7" s="2">
        <v>36.57</v>
      </c>
      <c r="F7" s="2">
        <v>48.12</v>
      </c>
      <c r="G7" s="2">
        <f t="shared" si="0"/>
        <v>11.549999999999997</v>
      </c>
      <c r="H7">
        <f t="shared" si="1"/>
        <v>1.1549999999999998</v>
      </c>
      <c r="I7" t="s">
        <v>40</v>
      </c>
      <c r="J7" t="s">
        <v>41</v>
      </c>
      <c r="K7" t="s">
        <v>31</v>
      </c>
      <c r="M7" t="s">
        <v>52</v>
      </c>
    </row>
    <row r="8" spans="1:14" x14ac:dyDescent="0.25">
      <c r="A8" t="s">
        <v>1</v>
      </c>
      <c r="B8" s="1">
        <f t="shared" si="2"/>
        <v>1007</v>
      </c>
      <c r="C8">
        <f t="shared" si="3"/>
        <v>10020</v>
      </c>
      <c r="D8" t="s">
        <v>20</v>
      </c>
      <c r="E8" s="2">
        <v>47.13</v>
      </c>
      <c r="F8" s="2">
        <v>69.84</v>
      </c>
      <c r="G8" s="2">
        <f t="shared" si="0"/>
        <v>22.71</v>
      </c>
      <c r="H8">
        <f t="shared" si="1"/>
        <v>4.5420000000000007</v>
      </c>
      <c r="I8" t="s">
        <v>36</v>
      </c>
      <c r="J8" t="s">
        <v>37</v>
      </c>
      <c r="K8" t="s">
        <v>33</v>
      </c>
      <c r="M8" t="s">
        <v>53</v>
      </c>
    </row>
    <row r="9" spans="1:14" x14ac:dyDescent="0.25">
      <c r="A9" t="s">
        <v>1</v>
      </c>
      <c r="B9" s="1">
        <f t="shared" si="2"/>
        <v>1008</v>
      </c>
      <c r="C9">
        <f t="shared" si="3"/>
        <v>10043</v>
      </c>
      <c r="D9" t="s">
        <v>23</v>
      </c>
      <c r="E9" s="2">
        <v>46.96</v>
      </c>
      <c r="F9" s="2">
        <v>92.2</v>
      </c>
      <c r="G9" s="2">
        <f t="shared" si="0"/>
        <v>45.24</v>
      </c>
      <c r="H9">
        <f t="shared" si="1"/>
        <v>9.048</v>
      </c>
      <c r="I9" t="s">
        <v>36</v>
      </c>
      <c r="J9" t="s">
        <v>37</v>
      </c>
      <c r="K9" t="s">
        <v>31</v>
      </c>
    </row>
    <row r="10" spans="1:14" x14ac:dyDescent="0.25">
      <c r="A10" t="s">
        <v>1</v>
      </c>
      <c r="B10" s="1">
        <f t="shared" si="2"/>
        <v>1009</v>
      </c>
      <c r="C10">
        <f t="shared" si="3"/>
        <v>10066</v>
      </c>
      <c r="D10" t="s">
        <v>24</v>
      </c>
      <c r="E10" s="2">
        <v>43.64</v>
      </c>
      <c r="F10" s="2">
        <v>128.5</v>
      </c>
      <c r="G10" s="2">
        <f t="shared" si="0"/>
        <v>84.86</v>
      </c>
      <c r="H10">
        <f t="shared" si="1"/>
        <v>16.972000000000001</v>
      </c>
      <c r="I10" t="s">
        <v>36</v>
      </c>
      <c r="J10" t="s">
        <v>37</v>
      </c>
      <c r="K10" t="s">
        <v>31</v>
      </c>
    </row>
    <row r="11" spans="1:14" x14ac:dyDescent="0.25">
      <c r="A11" t="s">
        <v>1</v>
      </c>
      <c r="B11" s="1">
        <f t="shared" si="2"/>
        <v>1010</v>
      </c>
      <c r="C11">
        <f t="shared" si="3"/>
        <v>10089</v>
      </c>
      <c r="D11" t="s">
        <v>20</v>
      </c>
      <c r="E11" s="2">
        <v>18.600000000000001</v>
      </c>
      <c r="F11" s="2">
        <v>75.41</v>
      </c>
      <c r="G11" s="2">
        <f t="shared" si="0"/>
        <v>56.809999999999995</v>
      </c>
      <c r="H11">
        <f t="shared" si="1"/>
        <v>11.362</v>
      </c>
      <c r="I11" t="s">
        <v>36</v>
      </c>
      <c r="J11" t="s">
        <v>37</v>
      </c>
      <c r="K11" t="s">
        <v>32</v>
      </c>
    </row>
    <row r="12" spans="1:14" x14ac:dyDescent="0.25">
      <c r="A12" t="s">
        <v>1</v>
      </c>
      <c r="B12" s="1">
        <f t="shared" si="2"/>
        <v>1011</v>
      </c>
      <c r="C12">
        <f t="shared" si="3"/>
        <v>10112</v>
      </c>
      <c r="D12" t="s">
        <v>25</v>
      </c>
      <c r="E12" s="2">
        <v>11.88</v>
      </c>
      <c r="F12" s="2">
        <v>86.63</v>
      </c>
      <c r="G12" s="2">
        <f t="shared" si="0"/>
        <v>74.75</v>
      </c>
      <c r="H12">
        <f t="shared" si="1"/>
        <v>14.950000000000001</v>
      </c>
      <c r="I12" t="s">
        <v>42</v>
      </c>
      <c r="J12" t="s">
        <v>43</v>
      </c>
      <c r="K12" t="s">
        <v>31</v>
      </c>
    </row>
    <row r="13" spans="1:14" x14ac:dyDescent="0.25">
      <c r="A13" t="s">
        <v>1</v>
      </c>
      <c r="B13" s="1">
        <f t="shared" si="2"/>
        <v>1012</v>
      </c>
      <c r="C13">
        <f t="shared" si="3"/>
        <v>10135</v>
      </c>
      <c r="D13" t="s">
        <v>24</v>
      </c>
      <c r="E13" s="2">
        <v>26.43</v>
      </c>
      <c r="F13" s="2">
        <v>42.99</v>
      </c>
      <c r="G13" s="2">
        <f t="shared" si="0"/>
        <v>16.560000000000002</v>
      </c>
      <c r="H13">
        <f t="shared" si="1"/>
        <v>1.6560000000000004</v>
      </c>
      <c r="I13" t="s">
        <v>42</v>
      </c>
      <c r="J13" t="s">
        <v>43</v>
      </c>
      <c r="K13" t="s">
        <v>32</v>
      </c>
    </row>
    <row r="14" spans="1:14" x14ac:dyDescent="0.25">
      <c r="A14" t="s">
        <v>1</v>
      </c>
      <c r="B14" s="1">
        <f t="shared" si="2"/>
        <v>1013</v>
      </c>
      <c r="C14">
        <f t="shared" si="3"/>
        <v>10158</v>
      </c>
      <c r="D14" t="s">
        <v>20</v>
      </c>
      <c r="E14" s="2">
        <v>36.44</v>
      </c>
      <c r="F14" s="2">
        <v>56.77</v>
      </c>
      <c r="G14" s="2">
        <f t="shared" si="0"/>
        <v>20.330000000000005</v>
      </c>
      <c r="H14">
        <f t="shared" si="1"/>
        <v>4.0660000000000016</v>
      </c>
      <c r="I14" t="s">
        <v>36</v>
      </c>
      <c r="J14" t="s">
        <v>37</v>
      </c>
      <c r="K14" t="s">
        <v>30</v>
      </c>
    </row>
    <row r="15" spans="1:14" x14ac:dyDescent="0.25">
      <c r="A15" t="s">
        <v>1</v>
      </c>
      <c r="B15" s="1">
        <f t="shared" si="2"/>
        <v>1014</v>
      </c>
      <c r="C15">
        <f t="shared" ref="C15:C46" si="4">C14-33</f>
        <v>10125</v>
      </c>
      <c r="D15" t="s">
        <v>25</v>
      </c>
      <c r="E15" s="2">
        <v>39.61</v>
      </c>
      <c r="F15" s="2">
        <v>69.459999999999994</v>
      </c>
      <c r="G15" s="2">
        <f t="shared" si="0"/>
        <v>29.849999999999994</v>
      </c>
      <c r="H15">
        <f t="shared" si="1"/>
        <v>5.9699999999999989</v>
      </c>
      <c r="I15" t="s">
        <v>42</v>
      </c>
      <c r="J15" t="s">
        <v>43</v>
      </c>
      <c r="K15" t="s">
        <v>31</v>
      </c>
    </row>
    <row r="16" spans="1:14" x14ac:dyDescent="0.25">
      <c r="A16" t="s">
        <v>1</v>
      </c>
      <c r="B16" s="1">
        <f t="shared" si="2"/>
        <v>1015</v>
      </c>
      <c r="C16">
        <f t="shared" si="4"/>
        <v>10092</v>
      </c>
      <c r="D16" t="s">
        <v>26</v>
      </c>
      <c r="E16" s="2">
        <v>5.33</v>
      </c>
      <c r="F16" s="2">
        <v>77.64</v>
      </c>
      <c r="G16" s="2">
        <f t="shared" si="0"/>
        <v>72.31</v>
      </c>
      <c r="H16">
        <f t="shared" si="1"/>
        <v>14.462000000000002</v>
      </c>
      <c r="I16" t="s">
        <v>40</v>
      </c>
      <c r="J16" t="s">
        <v>41</v>
      </c>
      <c r="K16" t="s">
        <v>30</v>
      </c>
    </row>
    <row r="17" spans="1:11" x14ac:dyDescent="0.25">
      <c r="A17" t="s">
        <v>2</v>
      </c>
      <c r="B17" s="1">
        <f t="shared" si="2"/>
        <v>1016</v>
      </c>
      <c r="C17">
        <f t="shared" si="4"/>
        <v>10059</v>
      </c>
      <c r="D17" t="s">
        <v>22</v>
      </c>
      <c r="E17" s="2">
        <v>9.15</v>
      </c>
      <c r="F17" s="2">
        <v>44.1</v>
      </c>
      <c r="G17" s="2">
        <f t="shared" si="0"/>
        <v>34.950000000000003</v>
      </c>
      <c r="H17">
        <f t="shared" si="1"/>
        <v>3.4950000000000006</v>
      </c>
      <c r="I17" t="s">
        <v>36</v>
      </c>
      <c r="J17" t="s">
        <v>37</v>
      </c>
      <c r="K17" t="s">
        <v>32</v>
      </c>
    </row>
    <row r="18" spans="1:11" x14ac:dyDescent="0.25">
      <c r="A18" t="s">
        <v>2</v>
      </c>
      <c r="B18" s="1">
        <f t="shared" si="2"/>
        <v>1017</v>
      </c>
      <c r="C18">
        <f t="shared" si="4"/>
        <v>10026</v>
      </c>
      <c r="D18" t="s">
        <v>25</v>
      </c>
      <c r="E18" s="2">
        <v>8.86</v>
      </c>
      <c r="F18" s="2">
        <v>37.520000000000003</v>
      </c>
      <c r="G18" s="2">
        <f t="shared" si="0"/>
        <v>28.660000000000004</v>
      </c>
      <c r="H18">
        <f t="shared" si="1"/>
        <v>2.8660000000000005</v>
      </c>
      <c r="I18" t="s">
        <v>38</v>
      </c>
      <c r="J18" t="s">
        <v>39</v>
      </c>
      <c r="K18" t="s">
        <v>32</v>
      </c>
    </row>
    <row r="19" spans="1:11" x14ac:dyDescent="0.25">
      <c r="A19" t="s">
        <v>2</v>
      </c>
      <c r="B19" s="1">
        <f t="shared" si="2"/>
        <v>1018</v>
      </c>
      <c r="C19">
        <f t="shared" si="4"/>
        <v>9993</v>
      </c>
      <c r="D19" t="s">
        <v>26</v>
      </c>
      <c r="E19" s="2">
        <v>39.799999999999997</v>
      </c>
      <c r="F19" s="2">
        <v>51.47</v>
      </c>
      <c r="G19" s="2">
        <f t="shared" si="0"/>
        <v>11.670000000000002</v>
      </c>
      <c r="H19">
        <f t="shared" si="1"/>
        <v>2.3340000000000005</v>
      </c>
      <c r="I19" t="s">
        <v>36</v>
      </c>
      <c r="J19" t="s">
        <v>37</v>
      </c>
      <c r="K19" t="s">
        <v>32</v>
      </c>
    </row>
    <row r="20" spans="1:11" x14ac:dyDescent="0.25">
      <c r="A20" t="s">
        <v>2</v>
      </c>
      <c r="B20" s="1">
        <f t="shared" si="2"/>
        <v>1019</v>
      </c>
      <c r="C20">
        <f t="shared" si="4"/>
        <v>9960</v>
      </c>
      <c r="D20" t="s">
        <v>24</v>
      </c>
      <c r="E20" s="2">
        <v>7.73</v>
      </c>
      <c r="F20" s="2">
        <v>19.649999999999999</v>
      </c>
      <c r="G20" s="2">
        <f t="shared" si="0"/>
        <v>11.919999999999998</v>
      </c>
      <c r="H20">
        <f t="shared" si="1"/>
        <v>1.1919999999999999</v>
      </c>
      <c r="I20" t="s">
        <v>42</v>
      </c>
      <c r="J20" t="s">
        <v>43</v>
      </c>
      <c r="K20" t="s">
        <v>30</v>
      </c>
    </row>
    <row r="21" spans="1:11" x14ac:dyDescent="0.25">
      <c r="A21" t="s">
        <v>2</v>
      </c>
      <c r="B21" s="1">
        <f t="shared" si="2"/>
        <v>1020</v>
      </c>
      <c r="C21">
        <f t="shared" si="4"/>
        <v>9927</v>
      </c>
      <c r="D21" t="s">
        <v>24</v>
      </c>
      <c r="E21" s="2">
        <v>28.77</v>
      </c>
      <c r="F21" s="2">
        <v>74.06</v>
      </c>
      <c r="G21" s="2">
        <f t="shared" si="0"/>
        <v>45.290000000000006</v>
      </c>
      <c r="H21">
        <f t="shared" si="1"/>
        <v>9.0580000000000016</v>
      </c>
      <c r="I21" t="s">
        <v>38</v>
      </c>
      <c r="J21" t="s">
        <v>39</v>
      </c>
      <c r="K21" t="s">
        <v>32</v>
      </c>
    </row>
    <row r="22" spans="1:11" x14ac:dyDescent="0.25">
      <c r="A22" t="s">
        <v>2</v>
      </c>
      <c r="B22" s="1">
        <f t="shared" si="2"/>
        <v>1021</v>
      </c>
      <c r="C22">
        <f t="shared" si="4"/>
        <v>9894</v>
      </c>
      <c r="D22" t="s">
        <v>27</v>
      </c>
      <c r="E22" s="2">
        <v>49.33</v>
      </c>
      <c r="F22" s="2">
        <v>109.47</v>
      </c>
      <c r="G22" s="2">
        <f t="shared" si="0"/>
        <v>60.14</v>
      </c>
      <c r="H22">
        <f t="shared" si="1"/>
        <v>12.028</v>
      </c>
      <c r="I22" t="s">
        <v>42</v>
      </c>
      <c r="J22" t="s">
        <v>43</v>
      </c>
      <c r="K22" t="s">
        <v>32</v>
      </c>
    </row>
    <row r="23" spans="1:11" x14ac:dyDescent="0.25">
      <c r="A23" t="s">
        <v>2</v>
      </c>
      <c r="B23" s="1">
        <f t="shared" si="2"/>
        <v>1022</v>
      </c>
      <c r="C23">
        <f t="shared" si="4"/>
        <v>9861</v>
      </c>
      <c r="D23" t="s">
        <v>26</v>
      </c>
      <c r="E23" s="2">
        <v>20.41</v>
      </c>
      <c r="F23" s="2">
        <v>47.1</v>
      </c>
      <c r="G23" s="2">
        <f t="shared" si="0"/>
        <v>26.69</v>
      </c>
      <c r="H23">
        <f t="shared" si="1"/>
        <v>2.6690000000000005</v>
      </c>
      <c r="I23" t="s">
        <v>38</v>
      </c>
      <c r="J23" t="s">
        <v>39</v>
      </c>
      <c r="K23" t="s">
        <v>32</v>
      </c>
    </row>
    <row r="24" spans="1:11" x14ac:dyDescent="0.25">
      <c r="A24" t="s">
        <v>2</v>
      </c>
      <c r="B24" s="1">
        <f t="shared" si="2"/>
        <v>1023</v>
      </c>
      <c r="C24">
        <f t="shared" si="4"/>
        <v>9828</v>
      </c>
      <c r="D24" t="s">
        <v>23</v>
      </c>
      <c r="E24" s="2">
        <v>32.479999999999997</v>
      </c>
      <c r="F24" s="2">
        <v>41.28</v>
      </c>
      <c r="G24" s="2">
        <f t="shared" si="0"/>
        <v>8.8000000000000043</v>
      </c>
      <c r="H24">
        <f t="shared" si="1"/>
        <v>0.88000000000000045</v>
      </c>
      <c r="I24" t="s">
        <v>40</v>
      </c>
      <c r="J24" t="s">
        <v>41</v>
      </c>
      <c r="K24" t="s">
        <v>33</v>
      </c>
    </row>
    <row r="25" spans="1:11" x14ac:dyDescent="0.25">
      <c r="A25" t="s">
        <v>2</v>
      </c>
      <c r="B25" s="1">
        <f t="shared" si="2"/>
        <v>1024</v>
      </c>
      <c r="C25">
        <f t="shared" si="4"/>
        <v>9795</v>
      </c>
      <c r="D25" t="s">
        <v>26</v>
      </c>
      <c r="E25" s="2">
        <v>13.27</v>
      </c>
      <c r="F25" s="2">
        <v>112.51</v>
      </c>
      <c r="G25" s="2">
        <f t="shared" si="0"/>
        <v>99.240000000000009</v>
      </c>
      <c r="H25">
        <f t="shared" si="1"/>
        <v>19.848000000000003</v>
      </c>
      <c r="I25" t="s">
        <v>42</v>
      </c>
      <c r="J25" t="s">
        <v>43</v>
      </c>
      <c r="K25" t="s">
        <v>33</v>
      </c>
    </row>
    <row r="26" spans="1:11" x14ac:dyDescent="0.25">
      <c r="A26" t="s">
        <v>2</v>
      </c>
      <c r="B26" s="1">
        <f t="shared" si="2"/>
        <v>1025</v>
      </c>
      <c r="C26">
        <f t="shared" si="4"/>
        <v>9762</v>
      </c>
      <c r="D26" t="s">
        <v>26</v>
      </c>
      <c r="E26" s="2">
        <v>45.55</v>
      </c>
      <c r="F26" s="2">
        <v>68.95</v>
      </c>
      <c r="G26" s="2">
        <f t="shared" si="0"/>
        <v>23.400000000000006</v>
      </c>
      <c r="H26">
        <f t="shared" si="1"/>
        <v>4.6800000000000015</v>
      </c>
      <c r="I26" t="s">
        <v>42</v>
      </c>
      <c r="J26" t="s">
        <v>43</v>
      </c>
      <c r="K26" t="s">
        <v>32</v>
      </c>
    </row>
    <row r="27" spans="1:11" x14ac:dyDescent="0.25">
      <c r="A27" t="s">
        <v>2</v>
      </c>
      <c r="B27" s="1">
        <f t="shared" si="2"/>
        <v>1026</v>
      </c>
      <c r="C27">
        <f t="shared" si="4"/>
        <v>9729</v>
      </c>
      <c r="D27" t="s">
        <v>23</v>
      </c>
      <c r="E27" s="2">
        <v>36.42</v>
      </c>
      <c r="F27" s="2">
        <v>106.4</v>
      </c>
      <c r="G27" s="2">
        <f t="shared" si="0"/>
        <v>69.98</v>
      </c>
      <c r="H27">
        <f t="shared" si="1"/>
        <v>13.996000000000002</v>
      </c>
      <c r="I27" t="s">
        <v>42</v>
      </c>
      <c r="J27" t="s">
        <v>43</v>
      </c>
      <c r="K27" t="s">
        <v>31</v>
      </c>
    </row>
    <row r="28" spans="1:11" x14ac:dyDescent="0.25">
      <c r="A28" t="s">
        <v>2</v>
      </c>
      <c r="B28" s="1">
        <f t="shared" si="2"/>
        <v>1027</v>
      </c>
      <c r="C28">
        <f t="shared" si="4"/>
        <v>9696</v>
      </c>
      <c r="D28" t="s">
        <v>27</v>
      </c>
      <c r="E28" s="2">
        <v>40.74</v>
      </c>
      <c r="F28" s="2">
        <v>127</v>
      </c>
      <c r="G28" s="2">
        <f t="shared" si="0"/>
        <v>86.259999999999991</v>
      </c>
      <c r="H28">
        <f t="shared" si="1"/>
        <v>17.251999999999999</v>
      </c>
      <c r="I28" t="s">
        <v>40</v>
      </c>
      <c r="J28" t="s">
        <v>41</v>
      </c>
      <c r="K28" t="s">
        <v>32</v>
      </c>
    </row>
    <row r="29" spans="1:11" x14ac:dyDescent="0.25">
      <c r="A29" t="s">
        <v>2</v>
      </c>
      <c r="B29" s="1">
        <f t="shared" si="2"/>
        <v>1028</v>
      </c>
      <c r="C29">
        <f t="shared" si="4"/>
        <v>9663</v>
      </c>
      <c r="D29" t="s">
        <v>25</v>
      </c>
      <c r="E29" s="2">
        <v>25.99</v>
      </c>
      <c r="F29" s="2">
        <v>79.3</v>
      </c>
      <c r="G29" s="2">
        <f t="shared" si="0"/>
        <v>53.31</v>
      </c>
      <c r="H29">
        <f t="shared" si="1"/>
        <v>10.662000000000001</v>
      </c>
      <c r="I29" t="s">
        <v>40</v>
      </c>
      <c r="J29" t="s">
        <v>41</v>
      </c>
      <c r="K29" t="s">
        <v>31</v>
      </c>
    </row>
    <row r="30" spans="1:11" x14ac:dyDescent="0.25">
      <c r="A30" t="s">
        <v>2</v>
      </c>
      <c r="B30" s="1">
        <f t="shared" si="2"/>
        <v>1029</v>
      </c>
      <c r="C30">
        <f t="shared" si="4"/>
        <v>9630</v>
      </c>
      <c r="D30" t="s">
        <v>25</v>
      </c>
      <c r="E30" s="2">
        <v>29.87</v>
      </c>
      <c r="F30" s="2">
        <v>89.49</v>
      </c>
      <c r="G30" s="2">
        <f t="shared" si="0"/>
        <v>59.61999999999999</v>
      </c>
      <c r="H30">
        <f t="shared" si="1"/>
        <v>11.923999999999999</v>
      </c>
      <c r="I30" t="s">
        <v>38</v>
      </c>
      <c r="J30" t="s">
        <v>39</v>
      </c>
      <c r="K30" t="s">
        <v>31</v>
      </c>
    </row>
    <row r="31" spans="1:11" x14ac:dyDescent="0.25">
      <c r="A31" t="s">
        <v>2</v>
      </c>
      <c r="B31" s="1">
        <f t="shared" si="2"/>
        <v>1030</v>
      </c>
      <c r="C31">
        <f t="shared" si="4"/>
        <v>9597</v>
      </c>
      <c r="D31" t="s">
        <v>24</v>
      </c>
      <c r="E31" s="2">
        <v>20.02</v>
      </c>
      <c r="F31" s="2">
        <v>97.46</v>
      </c>
      <c r="G31" s="2">
        <f t="shared" si="0"/>
        <v>77.44</v>
      </c>
      <c r="H31">
        <f t="shared" si="1"/>
        <v>15.488</v>
      </c>
      <c r="I31" t="s">
        <v>36</v>
      </c>
      <c r="J31" t="s">
        <v>37</v>
      </c>
      <c r="K31" t="s">
        <v>32</v>
      </c>
    </row>
    <row r="32" spans="1:11" x14ac:dyDescent="0.25">
      <c r="A32" t="s">
        <v>3</v>
      </c>
      <c r="B32" s="1">
        <f t="shared" si="2"/>
        <v>1031</v>
      </c>
      <c r="C32">
        <f t="shared" si="4"/>
        <v>9564</v>
      </c>
      <c r="D32" t="s">
        <v>24</v>
      </c>
      <c r="E32" s="2">
        <v>22.26</v>
      </c>
      <c r="F32" s="2">
        <v>28.5</v>
      </c>
      <c r="G32" s="2">
        <f t="shared" si="0"/>
        <v>6.2399999999999984</v>
      </c>
      <c r="H32">
        <f t="shared" si="1"/>
        <v>0.62399999999999989</v>
      </c>
      <c r="I32" t="s">
        <v>40</v>
      </c>
      <c r="J32" t="s">
        <v>41</v>
      </c>
      <c r="K32" t="s">
        <v>30</v>
      </c>
    </row>
    <row r="33" spans="1:11" x14ac:dyDescent="0.25">
      <c r="A33" t="s">
        <v>3</v>
      </c>
      <c r="B33" s="1">
        <f t="shared" si="2"/>
        <v>1032</v>
      </c>
      <c r="C33">
        <f t="shared" si="4"/>
        <v>9531</v>
      </c>
      <c r="D33" t="s">
        <v>27</v>
      </c>
      <c r="E33" s="2">
        <v>14.74</v>
      </c>
      <c r="F33" s="2">
        <v>85.72</v>
      </c>
      <c r="G33" s="2">
        <f t="shared" si="0"/>
        <v>70.98</v>
      </c>
      <c r="H33">
        <f t="shared" si="1"/>
        <v>14.196000000000002</v>
      </c>
      <c r="I33" t="s">
        <v>40</v>
      </c>
      <c r="J33" t="s">
        <v>41</v>
      </c>
      <c r="K33" t="s">
        <v>33</v>
      </c>
    </row>
    <row r="34" spans="1:11" x14ac:dyDescent="0.25">
      <c r="A34" t="s">
        <v>3</v>
      </c>
      <c r="B34" s="1">
        <f t="shared" si="2"/>
        <v>1033</v>
      </c>
      <c r="C34">
        <f t="shared" si="4"/>
        <v>9498</v>
      </c>
      <c r="D34" t="s">
        <v>28</v>
      </c>
      <c r="E34" s="2">
        <v>32.21</v>
      </c>
      <c r="F34" s="2">
        <v>103.97</v>
      </c>
      <c r="G34" s="2">
        <f t="shared" ref="G34:G65" si="5">F34-E34</f>
        <v>71.759999999999991</v>
      </c>
      <c r="H34">
        <f t="shared" ref="H34:H65" si="6">IF(F34&gt;50,G34*0.2,G34*0.1)</f>
        <v>14.351999999999999</v>
      </c>
      <c r="I34" t="s">
        <v>38</v>
      </c>
      <c r="J34" t="s">
        <v>39</v>
      </c>
      <c r="K34" t="s">
        <v>33</v>
      </c>
    </row>
    <row r="35" spans="1:11" x14ac:dyDescent="0.25">
      <c r="A35" t="s">
        <v>3</v>
      </c>
      <c r="B35" s="1">
        <f t="shared" ref="B35:B66" si="7">B34+1</f>
        <v>1034</v>
      </c>
      <c r="C35">
        <f t="shared" si="4"/>
        <v>9465</v>
      </c>
      <c r="D35" t="s">
        <v>20</v>
      </c>
      <c r="E35" s="2">
        <v>44.01</v>
      </c>
      <c r="F35" s="2">
        <v>62.9</v>
      </c>
      <c r="G35" s="2">
        <f t="shared" si="5"/>
        <v>18.89</v>
      </c>
      <c r="H35">
        <f t="shared" si="6"/>
        <v>3.7780000000000005</v>
      </c>
      <c r="I35" t="s">
        <v>40</v>
      </c>
      <c r="J35" t="s">
        <v>41</v>
      </c>
      <c r="K35" t="s">
        <v>30</v>
      </c>
    </row>
    <row r="36" spans="1:11" x14ac:dyDescent="0.25">
      <c r="A36" t="s">
        <v>3</v>
      </c>
      <c r="B36" s="1">
        <f t="shared" si="7"/>
        <v>1035</v>
      </c>
      <c r="C36">
        <f t="shared" si="4"/>
        <v>9432</v>
      </c>
      <c r="D36" t="s">
        <v>27</v>
      </c>
      <c r="E36" s="2">
        <v>7.46</v>
      </c>
      <c r="F36" s="2">
        <v>54.27</v>
      </c>
      <c r="G36" s="2">
        <f t="shared" si="5"/>
        <v>46.81</v>
      </c>
      <c r="H36">
        <f t="shared" si="6"/>
        <v>9.3620000000000001</v>
      </c>
      <c r="I36" t="s">
        <v>38</v>
      </c>
      <c r="J36" t="s">
        <v>39</v>
      </c>
      <c r="K36" t="s">
        <v>31</v>
      </c>
    </row>
    <row r="37" spans="1:11" x14ac:dyDescent="0.25">
      <c r="A37" t="s">
        <v>3</v>
      </c>
      <c r="B37" s="1">
        <f t="shared" si="7"/>
        <v>1036</v>
      </c>
      <c r="C37">
        <f t="shared" si="4"/>
        <v>9399</v>
      </c>
      <c r="D37" t="s">
        <v>22</v>
      </c>
      <c r="E37" s="2">
        <v>48.04</v>
      </c>
      <c r="F37" s="2">
        <v>87.45</v>
      </c>
      <c r="G37" s="2">
        <f t="shared" si="5"/>
        <v>39.410000000000004</v>
      </c>
      <c r="H37">
        <f t="shared" si="6"/>
        <v>7.8820000000000014</v>
      </c>
      <c r="I37" t="s">
        <v>40</v>
      </c>
      <c r="J37" t="s">
        <v>41</v>
      </c>
      <c r="K37" t="s">
        <v>33</v>
      </c>
    </row>
    <row r="38" spans="1:11" x14ac:dyDescent="0.25">
      <c r="A38" t="s">
        <v>3</v>
      </c>
      <c r="B38" s="1">
        <f t="shared" si="7"/>
        <v>1037</v>
      </c>
      <c r="C38">
        <f t="shared" si="4"/>
        <v>9366</v>
      </c>
      <c r="D38" t="s">
        <v>18</v>
      </c>
      <c r="E38" s="2">
        <v>48.62</v>
      </c>
      <c r="F38" s="2">
        <v>138.49</v>
      </c>
      <c r="G38" s="2">
        <f t="shared" si="5"/>
        <v>89.87</v>
      </c>
      <c r="H38">
        <f t="shared" si="6"/>
        <v>17.974</v>
      </c>
      <c r="I38" t="s">
        <v>38</v>
      </c>
      <c r="J38" t="s">
        <v>39</v>
      </c>
      <c r="K38" t="s">
        <v>31</v>
      </c>
    </row>
    <row r="39" spans="1:11" x14ac:dyDescent="0.25">
      <c r="A39" t="s">
        <v>3</v>
      </c>
      <c r="B39" s="1">
        <f t="shared" si="7"/>
        <v>1038</v>
      </c>
      <c r="C39">
        <f t="shared" si="4"/>
        <v>9333</v>
      </c>
      <c r="D39" t="s">
        <v>26</v>
      </c>
      <c r="E39" s="2">
        <v>40.270000000000003</v>
      </c>
      <c r="F39" s="2">
        <v>107.08</v>
      </c>
      <c r="G39" s="2">
        <f t="shared" si="5"/>
        <v>66.81</v>
      </c>
      <c r="H39">
        <f t="shared" si="6"/>
        <v>13.362000000000002</v>
      </c>
      <c r="I39" t="s">
        <v>38</v>
      </c>
      <c r="J39" t="s">
        <v>39</v>
      </c>
      <c r="K39" t="s">
        <v>33</v>
      </c>
    </row>
    <row r="40" spans="1:11" x14ac:dyDescent="0.25">
      <c r="A40" t="s">
        <v>3</v>
      </c>
      <c r="B40" s="1">
        <f t="shared" si="7"/>
        <v>1039</v>
      </c>
      <c r="C40">
        <f t="shared" si="4"/>
        <v>9300</v>
      </c>
      <c r="D40" t="s">
        <v>24</v>
      </c>
      <c r="E40" s="2">
        <v>24.1</v>
      </c>
      <c r="F40" s="2">
        <v>98.66</v>
      </c>
      <c r="G40" s="2">
        <f t="shared" si="5"/>
        <v>74.56</v>
      </c>
      <c r="H40">
        <f t="shared" si="6"/>
        <v>14.912000000000001</v>
      </c>
      <c r="I40" t="s">
        <v>36</v>
      </c>
      <c r="J40" t="s">
        <v>37</v>
      </c>
      <c r="K40" t="s">
        <v>33</v>
      </c>
    </row>
    <row r="41" spans="1:11" x14ac:dyDescent="0.25">
      <c r="A41" t="s">
        <v>3</v>
      </c>
      <c r="B41" s="1">
        <f t="shared" si="7"/>
        <v>1040</v>
      </c>
      <c r="C41">
        <f t="shared" si="4"/>
        <v>9267</v>
      </c>
      <c r="D41" t="s">
        <v>18</v>
      </c>
      <c r="E41" s="2">
        <v>13.58</v>
      </c>
      <c r="F41" s="2">
        <v>87.93</v>
      </c>
      <c r="G41" s="2">
        <f t="shared" si="5"/>
        <v>74.350000000000009</v>
      </c>
      <c r="H41">
        <f t="shared" si="6"/>
        <v>14.870000000000003</v>
      </c>
      <c r="I41" t="s">
        <v>40</v>
      </c>
      <c r="J41" t="s">
        <v>41</v>
      </c>
      <c r="K41" t="s">
        <v>31</v>
      </c>
    </row>
    <row r="42" spans="1:11" x14ac:dyDescent="0.25">
      <c r="A42" t="s">
        <v>3</v>
      </c>
      <c r="B42" s="1">
        <f t="shared" si="7"/>
        <v>1041</v>
      </c>
      <c r="C42">
        <f t="shared" si="4"/>
        <v>9234</v>
      </c>
      <c r="D42" t="s">
        <v>28</v>
      </c>
      <c r="E42" s="2">
        <v>24.3</v>
      </c>
      <c r="F42" s="2">
        <v>120.45</v>
      </c>
      <c r="G42" s="2">
        <f t="shared" si="5"/>
        <v>96.15</v>
      </c>
      <c r="H42">
        <f t="shared" si="6"/>
        <v>19.230000000000004</v>
      </c>
      <c r="I42" t="s">
        <v>36</v>
      </c>
      <c r="J42" t="s">
        <v>37</v>
      </c>
      <c r="K42" t="s">
        <v>32</v>
      </c>
    </row>
    <row r="43" spans="1:11" x14ac:dyDescent="0.25">
      <c r="A43" t="s">
        <v>3</v>
      </c>
      <c r="B43" s="1">
        <f t="shared" si="7"/>
        <v>1042</v>
      </c>
      <c r="C43">
        <f t="shared" si="4"/>
        <v>9201</v>
      </c>
      <c r="D43" t="s">
        <v>22</v>
      </c>
      <c r="E43" s="2">
        <v>41.14</v>
      </c>
      <c r="F43" s="2">
        <v>93.66</v>
      </c>
      <c r="G43" s="2">
        <f t="shared" si="5"/>
        <v>52.519999999999996</v>
      </c>
      <c r="H43">
        <f t="shared" si="6"/>
        <v>10.504</v>
      </c>
      <c r="I43" t="s">
        <v>36</v>
      </c>
      <c r="J43" t="s">
        <v>37</v>
      </c>
      <c r="K43" t="s">
        <v>33</v>
      </c>
    </row>
    <row r="44" spans="1:11" x14ac:dyDescent="0.25">
      <c r="A44" t="s">
        <v>3</v>
      </c>
      <c r="B44" s="1">
        <f t="shared" si="7"/>
        <v>1043</v>
      </c>
      <c r="C44">
        <f t="shared" si="4"/>
        <v>9168</v>
      </c>
      <c r="D44" t="s">
        <v>24</v>
      </c>
      <c r="E44" s="2">
        <v>45.43</v>
      </c>
      <c r="F44" s="2">
        <v>119.29</v>
      </c>
      <c r="G44" s="2">
        <f t="shared" si="5"/>
        <v>73.860000000000014</v>
      </c>
      <c r="H44">
        <f t="shared" si="6"/>
        <v>14.772000000000004</v>
      </c>
      <c r="I44" t="s">
        <v>36</v>
      </c>
      <c r="J44" t="s">
        <v>37</v>
      </c>
      <c r="K44" t="s">
        <v>32</v>
      </c>
    </row>
    <row r="45" spans="1:11" x14ac:dyDescent="0.25">
      <c r="A45" t="s">
        <v>3</v>
      </c>
      <c r="B45" s="1">
        <f t="shared" si="7"/>
        <v>1044</v>
      </c>
      <c r="C45">
        <f t="shared" si="4"/>
        <v>9135</v>
      </c>
      <c r="D45" t="s">
        <v>23</v>
      </c>
      <c r="E45" s="2">
        <v>12.35</v>
      </c>
      <c r="F45" s="2">
        <v>96.03</v>
      </c>
      <c r="G45" s="2">
        <f t="shared" si="5"/>
        <v>83.68</v>
      </c>
      <c r="H45">
        <f t="shared" si="6"/>
        <v>16.736000000000001</v>
      </c>
      <c r="I45" t="s">
        <v>42</v>
      </c>
      <c r="J45" t="s">
        <v>43</v>
      </c>
      <c r="K45" t="s">
        <v>30</v>
      </c>
    </row>
    <row r="46" spans="1:11" x14ac:dyDescent="0.25">
      <c r="A46" t="s">
        <v>3</v>
      </c>
      <c r="B46" s="1">
        <f t="shared" si="7"/>
        <v>1045</v>
      </c>
      <c r="C46">
        <f t="shared" si="4"/>
        <v>9102</v>
      </c>
      <c r="D46" t="s">
        <v>19</v>
      </c>
      <c r="E46" s="2">
        <v>31.51</v>
      </c>
      <c r="F46" s="2">
        <v>126.92</v>
      </c>
      <c r="G46" s="2">
        <f t="shared" si="5"/>
        <v>95.41</v>
      </c>
      <c r="H46">
        <f t="shared" si="6"/>
        <v>19.082000000000001</v>
      </c>
      <c r="I46" t="s">
        <v>42</v>
      </c>
      <c r="J46" t="s">
        <v>43</v>
      </c>
      <c r="K46" t="s">
        <v>32</v>
      </c>
    </row>
    <row r="47" spans="1:11" x14ac:dyDescent="0.25">
      <c r="A47" t="s">
        <v>4</v>
      </c>
      <c r="B47" s="1">
        <f t="shared" si="7"/>
        <v>1046</v>
      </c>
      <c r="C47">
        <f t="shared" ref="C47:C78" si="8">C46-33</f>
        <v>9069</v>
      </c>
      <c r="D47" t="s">
        <v>26</v>
      </c>
      <c r="E47" s="2">
        <v>8.02</v>
      </c>
      <c r="F47" s="2">
        <v>95.45</v>
      </c>
      <c r="G47" s="2">
        <f t="shared" si="5"/>
        <v>87.43</v>
      </c>
      <c r="H47">
        <f t="shared" si="6"/>
        <v>17.486000000000001</v>
      </c>
      <c r="I47" t="s">
        <v>36</v>
      </c>
      <c r="J47" t="s">
        <v>37</v>
      </c>
      <c r="K47" t="s">
        <v>30</v>
      </c>
    </row>
    <row r="48" spans="1:11" x14ac:dyDescent="0.25">
      <c r="A48" t="s">
        <v>4</v>
      </c>
      <c r="B48" s="1">
        <f t="shared" si="7"/>
        <v>1047</v>
      </c>
      <c r="C48">
        <f t="shared" si="8"/>
        <v>9036</v>
      </c>
      <c r="D48" t="s">
        <v>22</v>
      </c>
      <c r="E48" s="2">
        <v>27.13</v>
      </c>
      <c r="F48" s="2">
        <v>63.59</v>
      </c>
      <c r="G48" s="2">
        <f t="shared" si="5"/>
        <v>36.460000000000008</v>
      </c>
      <c r="H48">
        <f t="shared" si="6"/>
        <v>7.2920000000000016</v>
      </c>
      <c r="I48" t="s">
        <v>38</v>
      </c>
      <c r="J48" t="s">
        <v>39</v>
      </c>
      <c r="K48" t="s">
        <v>31</v>
      </c>
    </row>
    <row r="49" spans="1:11" x14ac:dyDescent="0.25">
      <c r="A49" t="s">
        <v>4</v>
      </c>
      <c r="B49" s="1">
        <f t="shared" si="7"/>
        <v>1048</v>
      </c>
      <c r="C49">
        <f t="shared" si="8"/>
        <v>9003</v>
      </c>
      <c r="D49" t="s">
        <v>18</v>
      </c>
      <c r="E49" s="2">
        <v>21.21</v>
      </c>
      <c r="F49" s="2">
        <v>112.23</v>
      </c>
      <c r="G49" s="2">
        <f t="shared" si="5"/>
        <v>91.02000000000001</v>
      </c>
      <c r="H49">
        <f t="shared" si="6"/>
        <v>18.204000000000004</v>
      </c>
      <c r="I49" t="s">
        <v>40</v>
      </c>
      <c r="J49" t="s">
        <v>41</v>
      </c>
      <c r="K49" t="s">
        <v>31</v>
      </c>
    </row>
    <row r="50" spans="1:11" x14ac:dyDescent="0.25">
      <c r="A50" t="s">
        <v>4</v>
      </c>
      <c r="B50" s="1">
        <f t="shared" si="7"/>
        <v>1049</v>
      </c>
      <c r="C50">
        <f t="shared" si="8"/>
        <v>8970</v>
      </c>
      <c r="D50" t="s">
        <v>25</v>
      </c>
      <c r="E50" s="2">
        <v>26.31</v>
      </c>
      <c r="F50" s="2">
        <v>72</v>
      </c>
      <c r="G50" s="2">
        <f t="shared" si="5"/>
        <v>45.69</v>
      </c>
      <c r="H50">
        <f t="shared" si="6"/>
        <v>9.1379999999999999</v>
      </c>
      <c r="I50" t="s">
        <v>42</v>
      </c>
      <c r="J50" t="s">
        <v>43</v>
      </c>
      <c r="K50" t="s">
        <v>30</v>
      </c>
    </row>
    <row r="51" spans="1:11" x14ac:dyDescent="0.25">
      <c r="A51" t="s">
        <v>4</v>
      </c>
      <c r="B51" s="1">
        <f t="shared" si="7"/>
        <v>1050</v>
      </c>
      <c r="C51">
        <f t="shared" si="8"/>
        <v>8937</v>
      </c>
      <c r="D51" t="s">
        <v>22</v>
      </c>
      <c r="E51" s="2">
        <v>21.16</v>
      </c>
      <c r="F51" s="2">
        <v>90.99</v>
      </c>
      <c r="G51" s="2">
        <f t="shared" si="5"/>
        <v>69.83</v>
      </c>
      <c r="H51">
        <f t="shared" si="6"/>
        <v>13.966000000000001</v>
      </c>
      <c r="I51" t="s">
        <v>42</v>
      </c>
      <c r="J51" t="s">
        <v>43</v>
      </c>
      <c r="K51" t="s">
        <v>32</v>
      </c>
    </row>
    <row r="52" spans="1:11" x14ac:dyDescent="0.25">
      <c r="A52" t="s">
        <v>4</v>
      </c>
      <c r="B52" s="1">
        <f t="shared" si="7"/>
        <v>1051</v>
      </c>
      <c r="C52">
        <f t="shared" si="8"/>
        <v>8904</v>
      </c>
      <c r="D52" t="s">
        <v>19</v>
      </c>
      <c r="E52" s="2">
        <v>8.5500000000000007</v>
      </c>
      <c r="F52" s="2">
        <v>105.59</v>
      </c>
      <c r="G52" s="2">
        <f t="shared" si="5"/>
        <v>97.04</v>
      </c>
      <c r="H52">
        <f t="shared" si="6"/>
        <v>19.408000000000001</v>
      </c>
      <c r="I52" t="s">
        <v>38</v>
      </c>
      <c r="J52" t="s">
        <v>39</v>
      </c>
      <c r="K52" t="s">
        <v>31</v>
      </c>
    </row>
    <row r="53" spans="1:11" x14ac:dyDescent="0.25">
      <c r="A53" t="s">
        <v>4</v>
      </c>
      <c r="B53" s="1">
        <f t="shared" si="7"/>
        <v>1052</v>
      </c>
      <c r="C53">
        <f t="shared" si="8"/>
        <v>8871</v>
      </c>
      <c r="D53" t="s">
        <v>23</v>
      </c>
      <c r="E53" s="2">
        <v>39.619999999999997</v>
      </c>
      <c r="F53" s="2">
        <v>62.06</v>
      </c>
      <c r="G53" s="2">
        <f t="shared" si="5"/>
        <v>22.440000000000005</v>
      </c>
      <c r="H53">
        <f t="shared" si="6"/>
        <v>4.4880000000000013</v>
      </c>
      <c r="I53" t="s">
        <v>38</v>
      </c>
      <c r="J53" t="s">
        <v>39</v>
      </c>
      <c r="K53" t="s">
        <v>31</v>
      </c>
    </row>
    <row r="54" spans="1:11" x14ac:dyDescent="0.25">
      <c r="A54" t="s">
        <v>4</v>
      </c>
      <c r="B54" s="1">
        <f t="shared" si="7"/>
        <v>1053</v>
      </c>
      <c r="C54">
        <f t="shared" si="8"/>
        <v>8838</v>
      </c>
      <c r="D54" t="s">
        <v>25</v>
      </c>
      <c r="E54" s="2">
        <v>46.7</v>
      </c>
      <c r="F54" s="2">
        <v>66.23</v>
      </c>
      <c r="G54" s="2">
        <f t="shared" si="5"/>
        <v>19.53</v>
      </c>
      <c r="H54">
        <f t="shared" si="6"/>
        <v>3.9060000000000006</v>
      </c>
      <c r="I54" t="s">
        <v>40</v>
      </c>
      <c r="J54" t="s">
        <v>41</v>
      </c>
      <c r="K54" t="s">
        <v>31</v>
      </c>
    </row>
    <row r="55" spans="1:11" x14ac:dyDescent="0.25">
      <c r="A55" t="s">
        <v>4</v>
      </c>
      <c r="B55" s="1">
        <f t="shared" si="7"/>
        <v>1054</v>
      </c>
      <c r="C55">
        <f t="shared" si="8"/>
        <v>8805</v>
      </c>
      <c r="D55" t="s">
        <v>19</v>
      </c>
      <c r="E55" s="2">
        <v>10.39</v>
      </c>
      <c r="F55" s="2">
        <v>19.100000000000001</v>
      </c>
      <c r="G55" s="2">
        <f t="shared" si="5"/>
        <v>8.7100000000000009</v>
      </c>
      <c r="H55">
        <f t="shared" si="6"/>
        <v>0.87100000000000011</v>
      </c>
      <c r="I55" t="s">
        <v>40</v>
      </c>
      <c r="J55" t="s">
        <v>41</v>
      </c>
      <c r="K55" t="s">
        <v>32</v>
      </c>
    </row>
    <row r="56" spans="1:11" x14ac:dyDescent="0.25">
      <c r="A56" t="s">
        <v>4</v>
      </c>
      <c r="B56" s="1">
        <f t="shared" si="7"/>
        <v>1055</v>
      </c>
      <c r="C56">
        <f t="shared" si="8"/>
        <v>8772</v>
      </c>
      <c r="D56" t="s">
        <v>18</v>
      </c>
      <c r="E56" s="2">
        <v>32.299999999999997</v>
      </c>
      <c r="F56" s="2">
        <v>45.87</v>
      </c>
      <c r="G56" s="2">
        <f t="shared" si="5"/>
        <v>13.57</v>
      </c>
      <c r="H56">
        <f t="shared" si="6"/>
        <v>1.3570000000000002</v>
      </c>
      <c r="I56" t="s">
        <v>40</v>
      </c>
      <c r="J56" t="s">
        <v>41</v>
      </c>
      <c r="K56" t="s">
        <v>31</v>
      </c>
    </row>
    <row r="57" spans="1:11" x14ac:dyDescent="0.25">
      <c r="A57" t="s">
        <v>4</v>
      </c>
      <c r="B57" s="1">
        <f t="shared" si="7"/>
        <v>1056</v>
      </c>
      <c r="C57">
        <f t="shared" si="8"/>
        <v>8739</v>
      </c>
      <c r="D57" t="s">
        <v>20</v>
      </c>
      <c r="E57" s="2">
        <v>12.42</v>
      </c>
      <c r="F57" s="2">
        <v>48.84</v>
      </c>
      <c r="G57" s="2">
        <f t="shared" si="5"/>
        <v>36.42</v>
      </c>
      <c r="H57">
        <f t="shared" si="6"/>
        <v>3.6420000000000003</v>
      </c>
      <c r="I57" t="s">
        <v>40</v>
      </c>
      <c r="J57" t="s">
        <v>41</v>
      </c>
      <c r="K57" t="s">
        <v>30</v>
      </c>
    </row>
    <row r="58" spans="1:11" x14ac:dyDescent="0.25">
      <c r="A58" t="s">
        <v>4</v>
      </c>
      <c r="B58" s="1">
        <f t="shared" si="7"/>
        <v>1057</v>
      </c>
      <c r="C58">
        <f t="shared" si="8"/>
        <v>8706</v>
      </c>
      <c r="D58" t="s">
        <v>27</v>
      </c>
      <c r="E58" s="2">
        <v>10.71</v>
      </c>
      <c r="F58" s="2">
        <v>55.03</v>
      </c>
      <c r="G58" s="2">
        <f t="shared" si="5"/>
        <v>44.32</v>
      </c>
      <c r="H58">
        <f t="shared" si="6"/>
        <v>8.8640000000000008</v>
      </c>
      <c r="I58" t="s">
        <v>42</v>
      </c>
      <c r="J58" t="s">
        <v>43</v>
      </c>
      <c r="K58" t="s">
        <v>32</v>
      </c>
    </row>
    <row r="59" spans="1:11" x14ac:dyDescent="0.25">
      <c r="A59" t="s">
        <v>4</v>
      </c>
      <c r="B59" s="1">
        <f t="shared" si="7"/>
        <v>1058</v>
      </c>
      <c r="C59">
        <f t="shared" si="8"/>
        <v>8673</v>
      </c>
      <c r="D59" t="s">
        <v>26</v>
      </c>
      <c r="E59" s="2">
        <v>6.29</v>
      </c>
      <c r="F59" s="2">
        <v>83.37</v>
      </c>
      <c r="G59" s="2">
        <f t="shared" si="5"/>
        <v>77.08</v>
      </c>
      <c r="H59">
        <f t="shared" si="6"/>
        <v>15.416</v>
      </c>
      <c r="I59" t="s">
        <v>36</v>
      </c>
      <c r="J59" t="s">
        <v>37</v>
      </c>
      <c r="K59" t="s">
        <v>31</v>
      </c>
    </row>
    <row r="60" spans="1:11" x14ac:dyDescent="0.25">
      <c r="A60" t="s">
        <v>4</v>
      </c>
      <c r="B60" s="1">
        <f t="shared" si="7"/>
        <v>1059</v>
      </c>
      <c r="C60">
        <f t="shared" si="8"/>
        <v>8640</v>
      </c>
      <c r="D60" t="s">
        <v>26</v>
      </c>
      <c r="E60" s="2">
        <v>6.48</v>
      </c>
      <c r="F60" s="2">
        <v>23.17</v>
      </c>
      <c r="G60" s="2">
        <f t="shared" si="5"/>
        <v>16.690000000000001</v>
      </c>
      <c r="H60">
        <f t="shared" si="6"/>
        <v>1.6690000000000003</v>
      </c>
      <c r="I60" t="s">
        <v>38</v>
      </c>
      <c r="J60" t="s">
        <v>39</v>
      </c>
      <c r="K60" t="s">
        <v>32</v>
      </c>
    </row>
    <row r="61" spans="1:11" x14ac:dyDescent="0.25">
      <c r="A61" t="s">
        <v>4</v>
      </c>
      <c r="B61" s="1">
        <f t="shared" si="7"/>
        <v>1060</v>
      </c>
      <c r="C61">
        <f t="shared" si="8"/>
        <v>8607</v>
      </c>
      <c r="D61" t="s">
        <v>28</v>
      </c>
      <c r="E61" s="2">
        <v>8.86</v>
      </c>
      <c r="F61" s="2">
        <v>90.01</v>
      </c>
      <c r="G61" s="2">
        <f t="shared" si="5"/>
        <v>81.150000000000006</v>
      </c>
      <c r="H61">
        <f t="shared" si="6"/>
        <v>16.23</v>
      </c>
      <c r="I61" t="s">
        <v>36</v>
      </c>
      <c r="J61" t="s">
        <v>37</v>
      </c>
      <c r="K61" t="s">
        <v>32</v>
      </c>
    </row>
    <row r="62" spans="1:11" x14ac:dyDescent="0.25">
      <c r="A62" t="s">
        <v>5</v>
      </c>
      <c r="B62" s="1">
        <f t="shared" si="7"/>
        <v>1061</v>
      </c>
      <c r="C62">
        <f t="shared" si="8"/>
        <v>8574</v>
      </c>
      <c r="D62" t="s">
        <v>26</v>
      </c>
      <c r="E62" s="2">
        <v>12.57</v>
      </c>
      <c r="F62" s="2">
        <v>35.979999999999997</v>
      </c>
      <c r="G62" s="2">
        <f t="shared" si="5"/>
        <v>23.409999999999997</v>
      </c>
      <c r="H62">
        <f t="shared" si="6"/>
        <v>2.3409999999999997</v>
      </c>
      <c r="I62" t="s">
        <v>38</v>
      </c>
      <c r="J62" t="s">
        <v>39</v>
      </c>
      <c r="K62" t="s">
        <v>32</v>
      </c>
    </row>
    <row r="63" spans="1:11" x14ac:dyDescent="0.25">
      <c r="A63" t="s">
        <v>5</v>
      </c>
      <c r="B63" s="1">
        <f t="shared" si="7"/>
        <v>1062</v>
      </c>
      <c r="C63">
        <f t="shared" si="8"/>
        <v>8541</v>
      </c>
      <c r="D63" t="s">
        <v>26</v>
      </c>
      <c r="E63" s="2">
        <v>18.920000000000002</v>
      </c>
      <c r="F63" s="2">
        <v>86.34</v>
      </c>
      <c r="G63" s="2">
        <f t="shared" si="5"/>
        <v>67.42</v>
      </c>
      <c r="H63">
        <f t="shared" si="6"/>
        <v>13.484000000000002</v>
      </c>
      <c r="I63" t="s">
        <v>36</v>
      </c>
      <c r="J63" t="s">
        <v>37</v>
      </c>
      <c r="K63" t="s">
        <v>32</v>
      </c>
    </row>
    <row r="64" spans="1:11" x14ac:dyDescent="0.25">
      <c r="A64" t="s">
        <v>5</v>
      </c>
      <c r="B64" s="1">
        <f t="shared" si="7"/>
        <v>1063</v>
      </c>
      <c r="C64">
        <f t="shared" si="8"/>
        <v>8508</v>
      </c>
      <c r="D64" t="s">
        <v>26</v>
      </c>
      <c r="E64" s="2">
        <v>42.48</v>
      </c>
      <c r="F64" s="2">
        <v>61.25</v>
      </c>
      <c r="G64" s="2">
        <f t="shared" si="5"/>
        <v>18.770000000000003</v>
      </c>
      <c r="H64">
        <f t="shared" si="6"/>
        <v>3.7540000000000009</v>
      </c>
      <c r="I64" t="s">
        <v>36</v>
      </c>
      <c r="J64" t="s">
        <v>37</v>
      </c>
      <c r="K64" t="s">
        <v>31</v>
      </c>
    </row>
    <row r="65" spans="1:11" x14ac:dyDescent="0.25">
      <c r="A65" t="s">
        <v>5</v>
      </c>
      <c r="B65" s="1">
        <f t="shared" si="7"/>
        <v>1064</v>
      </c>
      <c r="C65">
        <f t="shared" si="8"/>
        <v>8475</v>
      </c>
      <c r="D65" t="s">
        <v>22</v>
      </c>
      <c r="E65" s="2">
        <v>38.92</v>
      </c>
      <c r="F65" s="2">
        <v>116.62</v>
      </c>
      <c r="G65" s="2">
        <f t="shared" si="5"/>
        <v>77.7</v>
      </c>
      <c r="H65">
        <f t="shared" si="6"/>
        <v>15.540000000000001</v>
      </c>
      <c r="I65" t="s">
        <v>40</v>
      </c>
      <c r="J65" t="s">
        <v>41</v>
      </c>
      <c r="K65" t="s">
        <v>30</v>
      </c>
    </row>
    <row r="66" spans="1:11" x14ac:dyDescent="0.25">
      <c r="A66" t="s">
        <v>5</v>
      </c>
      <c r="B66" s="1">
        <f t="shared" si="7"/>
        <v>1065</v>
      </c>
      <c r="C66">
        <f t="shared" si="8"/>
        <v>8442</v>
      </c>
      <c r="D66" t="s">
        <v>23</v>
      </c>
      <c r="E66" s="2">
        <v>37.39</v>
      </c>
      <c r="F66" s="2">
        <v>93.92</v>
      </c>
      <c r="G66" s="2">
        <f t="shared" ref="G66:G97" si="9">F66-E66</f>
        <v>56.53</v>
      </c>
      <c r="H66">
        <f t="shared" ref="H66:H97" si="10">IF(F66&gt;50,G66*0.2,G66*0.1)</f>
        <v>11.306000000000001</v>
      </c>
      <c r="I66" t="s">
        <v>36</v>
      </c>
      <c r="J66" t="s">
        <v>37</v>
      </c>
      <c r="K66" t="s">
        <v>30</v>
      </c>
    </row>
    <row r="67" spans="1:11" x14ac:dyDescent="0.25">
      <c r="A67" t="s">
        <v>5</v>
      </c>
      <c r="B67" s="1">
        <f t="shared" ref="B67:B98" si="11">B66+1</f>
        <v>1066</v>
      </c>
      <c r="C67">
        <f t="shared" si="8"/>
        <v>8409</v>
      </c>
      <c r="D67" t="s">
        <v>21</v>
      </c>
      <c r="E67" s="2">
        <v>19.93</v>
      </c>
      <c r="F67" s="2">
        <v>58.26</v>
      </c>
      <c r="G67" s="2">
        <f t="shared" si="9"/>
        <v>38.33</v>
      </c>
      <c r="H67">
        <f t="shared" si="10"/>
        <v>7.6660000000000004</v>
      </c>
      <c r="I67" t="s">
        <v>36</v>
      </c>
      <c r="J67" t="s">
        <v>37</v>
      </c>
      <c r="K67" t="s">
        <v>33</v>
      </c>
    </row>
    <row r="68" spans="1:11" x14ac:dyDescent="0.25">
      <c r="A68" t="s">
        <v>5</v>
      </c>
      <c r="B68" s="1">
        <f t="shared" si="11"/>
        <v>1067</v>
      </c>
      <c r="C68">
        <f t="shared" si="8"/>
        <v>8376</v>
      </c>
      <c r="D68" t="s">
        <v>19</v>
      </c>
      <c r="E68" s="2">
        <v>48.48</v>
      </c>
      <c r="F68" s="2">
        <v>142.36000000000001</v>
      </c>
      <c r="G68" s="2">
        <f t="shared" si="9"/>
        <v>93.880000000000024</v>
      </c>
      <c r="H68">
        <f t="shared" si="10"/>
        <v>18.776000000000007</v>
      </c>
      <c r="I68" t="s">
        <v>40</v>
      </c>
      <c r="J68" t="s">
        <v>41</v>
      </c>
      <c r="K68" t="s">
        <v>33</v>
      </c>
    </row>
    <row r="69" spans="1:11" x14ac:dyDescent="0.25">
      <c r="A69" t="s">
        <v>5</v>
      </c>
      <c r="B69" s="1">
        <f t="shared" si="11"/>
        <v>1068</v>
      </c>
      <c r="C69">
        <f t="shared" si="8"/>
        <v>8343</v>
      </c>
      <c r="D69" t="s">
        <v>20</v>
      </c>
      <c r="E69" s="2">
        <v>32.24</v>
      </c>
      <c r="F69" s="2">
        <v>87.49</v>
      </c>
      <c r="G69" s="2">
        <f t="shared" si="9"/>
        <v>55.249999999999993</v>
      </c>
      <c r="H69">
        <f t="shared" si="10"/>
        <v>11.049999999999999</v>
      </c>
      <c r="I69" t="s">
        <v>42</v>
      </c>
      <c r="J69" t="s">
        <v>43</v>
      </c>
      <c r="K69" t="s">
        <v>33</v>
      </c>
    </row>
    <row r="70" spans="1:11" x14ac:dyDescent="0.25">
      <c r="A70" t="s">
        <v>5</v>
      </c>
      <c r="B70" s="1">
        <f t="shared" si="11"/>
        <v>1069</v>
      </c>
      <c r="C70">
        <f t="shared" si="8"/>
        <v>8310</v>
      </c>
      <c r="D70" t="s">
        <v>21</v>
      </c>
      <c r="E70" s="2">
        <v>38.74</v>
      </c>
      <c r="F70" s="2">
        <v>126.19</v>
      </c>
      <c r="G70" s="2">
        <f t="shared" si="9"/>
        <v>87.449999999999989</v>
      </c>
      <c r="H70">
        <f t="shared" si="10"/>
        <v>17.489999999999998</v>
      </c>
      <c r="I70" t="s">
        <v>36</v>
      </c>
      <c r="J70" t="s">
        <v>37</v>
      </c>
      <c r="K70" t="s">
        <v>32</v>
      </c>
    </row>
    <row r="71" spans="1:11" x14ac:dyDescent="0.25">
      <c r="A71" t="s">
        <v>5</v>
      </c>
      <c r="B71" s="1">
        <f t="shared" si="11"/>
        <v>1070</v>
      </c>
      <c r="C71">
        <f t="shared" si="8"/>
        <v>8277</v>
      </c>
      <c r="D71" t="s">
        <v>24</v>
      </c>
      <c r="E71" s="2">
        <v>19.739999999999998</v>
      </c>
      <c r="F71" s="2">
        <v>79.8</v>
      </c>
      <c r="G71" s="2">
        <f t="shared" si="9"/>
        <v>60.06</v>
      </c>
      <c r="H71">
        <f t="shared" si="10"/>
        <v>12.012</v>
      </c>
      <c r="I71" t="s">
        <v>38</v>
      </c>
      <c r="J71" t="s">
        <v>39</v>
      </c>
      <c r="K71" t="s">
        <v>33</v>
      </c>
    </row>
    <row r="72" spans="1:11" x14ac:dyDescent="0.25">
      <c r="A72" t="s">
        <v>5</v>
      </c>
      <c r="B72" s="1">
        <f t="shared" si="11"/>
        <v>1071</v>
      </c>
      <c r="C72">
        <f t="shared" si="8"/>
        <v>8244</v>
      </c>
      <c r="D72" t="s">
        <v>28</v>
      </c>
      <c r="E72" s="2">
        <v>20.29</v>
      </c>
      <c r="F72" s="2">
        <v>112.02</v>
      </c>
      <c r="G72" s="2">
        <f t="shared" si="9"/>
        <v>91.72999999999999</v>
      </c>
      <c r="H72">
        <f t="shared" si="10"/>
        <v>18.346</v>
      </c>
      <c r="I72" t="s">
        <v>40</v>
      </c>
      <c r="J72" t="s">
        <v>41</v>
      </c>
      <c r="K72" t="s">
        <v>32</v>
      </c>
    </row>
    <row r="73" spans="1:11" x14ac:dyDescent="0.25">
      <c r="A73" t="s">
        <v>5</v>
      </c>
      <c r="B73" s="1">
        <f t="shared" si="11"/>
        <v>1072</v>
      </c>
      <c r="C73">
        <f t="shared" si="8"/>
        <v>8211</v>
      </c>
      <c r="D73" t="s">
        <v>19</v>
      </c>
      <c r="E73" s="2">
        <v>18.7</v>
      </c>
      <c r="F73" s="2">
        <v>80.25</v>
      </c>
      <c r="G73" s="2">
        <f t="shared" si="9"/>
        <v>61.55</v>
      </c>
      <c r="H73">
        <f t="shared" si="10"/>
        <v>12.31</v>
      </c>
      <c r="I73" t="s">
        <v>36</v>
      </c>
      <c r="J73" t="s">
        <v>37</v>
      </c>
      <c r="K73" t="s">
        <v>32</v>
      </c>
    </row>
    <row r="74" spans="1:11" x14ac:dyDescent="0.25">
      <c r="A74" t="s">
        <v>5</v>
      </c>
      <c r="B74" s="1">
        <f t="shared" si="11"/>
        <v>1073</v>
      </c>
      <c r="C74">
        <f t="shared" si="8"/>
        <v>8178</v>
      </c>
      <c r="D74" t="s">
        <v>28</v>
      </c>
      <c r="E74" s="2">
        <v>49.18</v>
      </c>
      <c r="F74" s="2">
        <v>107.53</v>
      </c>
      <c r="G74" s="2">
        <f t="shared" si="9"/>
        <v>58.35</v>
      </c>
      <c r="H74">
        <f t="shared" si="10"/>
        <v>11.670000000000002</v>
      </c>
      <c r="I74" t="s">
        <v>36</v>
      </c>
      <c r="J74" t="s">
        <v>37</v>
      </c>
      <c r="K74" t="s">
        <v>33</v>
      </c>
    </row>
    <row r="75" spans="1:11" x14ac:dyDescent="0.25">
      <c r="A75" t="s">
        <v>5</v>
      </c>
      <c r="B75" s="1">
        <f t="shared" si="11"/>
        <v>1074</v>
      </c>
      <c r="C75">
        <f t="shared" si="8"/>
        <v>8145</v>
      </c>
      <c r="D75" t="s">
        <v>20</v>
      </c>
      <c r="E75" s="2">
        <v>26.98</v>
      </c>
      <c r="F75" s="2">
        <v>74.319999999999993</v>
      </c>
      <c r="G75" s="2">
        <f t="shared" si="9"/>
        <v>47.339999999999989</v>
      </c>
      <c r="H75">
        <f t="shared" si="10"/>
        <v>9.4679999999999982</v>
      </c>
      <c r="I75" t="s">
        <v>40</v>
      </c>
      <c r="J75" t="s">
        <v>41</v>
      </c>
      <c r="K75" t="s">
        <v>33</v>
      </c>
    </row>
    <row r="76" spans="1:11" x14ac:dyDescent="0.25">
      <c r="A76" t="s">
        <v>5</v>
      </c>
      <c r="B76" s="1">
        <f t="shared" si="11"/>
        <v>1075</v>
      </c>
      <c r="C76">
        <f t="shared" si="8"/>
        <v>8112</v>
      </c>
      <c r="D76" t="s">
        <v>23</v>
      </c>
      <c r="E76" s="2">
        <v>41.56</v>
      </c>
      <c r="F76" s="2">
        <v>67.19</v>
      </c>
      <c r="G76" s="2">
        <f t="shared" si="9"/>
        <v>25.629999999999995</v>
      </c>
      <c r="H76">
        <f t="shared" si="10"/>
        <v>5.1259999999999994</v>
      </c>
      <c r="I76" t="s">
        <v>38</v>
      </c>
      <c r="J76" t="s">
        <v>39</v>
      </c>
      <c r="K76" t="s">
        <v>33</v>
      </c>
    </row>
    <row r="77" spans="1:11" x14ac:dyDescent="0.25">
      <c r="A77" t="s">
        <v>6</v>
      </c>
      <c r="B77" s="1">
        <f t="shared" si="11"/>
        <v>1076</v>
      </c>
      <c r="C77">
        <f t="shared" si="8"/>
        <v>8079</v>
      </c>
      <c r="D77" t="s">
        <v>20</v>
      </c>
      <c r="E77" s="2">
        <v>8.07</v>
      </c>
      <c r="F77" s="2">
        <v>70.569999999999993</v>
      </c>
      <c r="G77" s="2">
        <f t="shared" si="9"/>
        <v>62.499999999999993</v>
      </c>
      <c r="H77">
        <f t="shared" si="10"/>
        <v>12.5</v>
      </c>
      <c r="I77" t="s">
        <v>40</v>
      </c>
      <c r="J77" t="s">
        <v>41</v>
      </c>
      <c r="K77" t="s">
        <v>30</v>
      </c>
    </row>
    <row r="78" spans="1:11" x14ac:dyDescent="0.25">
      <c r="A78" t="s">
        <v>6</v>
      </c>
      <c r="B78" s="1">
        <f t="shared" si="11"/>
        <v>1077</v>
      </c>
      <c r="C78">
        <f t="shared" si="8"/>
        <v>8046</v>
      </c>
      <c r="D78" t="s">
        <v>23</v>
      </c>
      <c r="E78" s="2">
        <v>24.44</v>
      </c>
      <c r="F78" s="2">
        <v>87.5</v>
      </c>
      <c r="G78" s="2">
        <f t="shared" si="9"/>
        <v>63.06</v>
      </c>
      <c r="H78">
        <f t="shared" si="10"/>
        <v>12.612000000000002</v>
      </c>
      <c r="I78" t="s">
        <v>38</v>
      </c>
      <c r="J78" t="s">
        <v>39</v>
      </c>
      <c r="K78" t="s">
        <v>31</v>
      </c>
    </row>
    <row r="79" spans="1:11" x14ac:dyDescent="0.25">
      <c r="A79" t="s">
        <v>6</v>
      </c>
      <c r="B79" s="1">
        <f t="shared" si="11"/>
        <v>1078</v>
      </c>
      <c r="C79">
        <f t="shared" ref="C79:C110" si="12">C78-33</f>
        <v>8013</v>
      </c>
      <c r="D79" t="s">
        <v>23</v>
      </c>
      <c r="E79" s="2">
        <v>29.85</v>
      </c>
      <c r="F79" s="2">
        <v>109.27</v>
      </c>
      <c r="G79" s="2">
        <f t="shared" si="9"/>
        <v>79.419999999999987</v>
      </c>
      <c r="H79">
        <f t="shared" si="10"/>
        <v>15.883999999999999</v>
      </c>
      <c r="I79" t="s">
        <v>36</v>
      </c>
      <c r="J79" t="s">
        <v>37</v>
      </c>
      <c r="K79" t="s">
        <v>31</v>
      </c>
    </row>
    <row r="80" spans="1:11" x14ac:dyDescent="0.25">
      <c r="A80" t="s">
        <v>6</v>
      </c>
      <c r="B80" s="1">
        <f t="shared" si="11"/>
        <v>1079</v>
      </c>
      <c r="C80">
        <f t="shared" si="12"/>
        <v>7980</v>
      </c>
      <c r="D80" t="s">
        <v>23</v>
      </c>
      <c r="E80" s="2">
        <v>28.25</v>
      </c>
      <c r="F80" s="2">
        <v>52.74</v>
      </c>
      <c r="G80" s="2">
        <f t="shared" si="9"/>
        <v>24.490000000000002</v>
      </c>
      <c r="H80">
        <f t="shared" si="10"/>
        <v>4.8980000000000006</v>
      </c>
      <c r="I80" t="s">
        <v>42</v>
      </c>
      <c r="J80" t="s">
        <v>43</v>
      </c>
      <c r="K80" t="s">
        <v>30</v>
      </c>
    </row>
    <row r="81" spans="1:11" x14ac:dyDescent="0.25">
      <c r="A81" t="s">
        <v>6</v>
      </c>
      <c r="B81" s="1">
        <f t="shared" si="11"/>
        <v>1080</v>
      </c>
      <c r="C81">
        <f t="shared" si="12"/>
        <v>7947</v>
      </c>
      <c r="D81" t="s">
        <v>21</v>
      </c>
      <c r="E81" s="2">
        <v>26.88</v>
      </c>
      <c r="F81" s="2">
        <v>69.34</v>
      </c>
      <c r="G81" s="2">
        <f t="shared" si="9"/>
        <v>42.460000000000008</v>
      </c>
      <c r="H81">
        <f t="shared" si="10"/>
        <v>8.4920000000000027</v>
      </c>
      <c r="I81" t="s">
        <v>36</v>
      </c>
      <c r="J81" t="s">
        <v>37</v>
      </c>
      <c r="K81" t="s">
        <v>30</v>
      </c>
    </row>
    <row r="82" spans="1:11" x14ac:dyDescent="0.25">
      <c r="A82" t="s">
        <v>6</v>
      </c>
      <c r="B82" s="1">
        <f t="shared" si="11"/>
        <v>1081</v>
      </c>
      <c r="C82">
        <f t="shared" si="12"/>
        <v>7914</v>
      </c>
      <c r="D82" t="s">
        <v>21</v>
      </c>
      <c r="E82" s="2">
        <v>10.210000000000001</v>
      </c>
      <c r="F82" s="2">
        <v>35.36</v>
      </c>
      <c r="G82" s="2">
        <f t="shared" si="9"/>
        <v>25.15</v>
      </c>
      <c r="H82">
        <f t="shared" si="10"/>
        <v>2.5150000000000001</v>
      </c>
      <c r="I82" t="s">
        <v>40</v>
      </c>
      <c r="J82" t="s">
        <v>41</v>
      </c>
      <c r="K82" t="s">
        <v>32</v>
      </c>
    </row>
    <row r="83" spans="1:11" x14ac:dyDescent="0.25">
      <c r="A83" t="s">
        <v>6</v>
      </c>
      <c r="B83" s="1">
        <f t="shared" si="11"/>
        <v>1082</v>
      </c>
      <c r="C83">
        <f t="shared" si="12"/>
        <v>7881</v>
      </c>
      <c r="D83" t="s">
        <v>19</v>
      </c>
      <c r="E83" s="2">
        <v>30.34</v>
      </c>
      <c r="F83" s="2">
        <v>84.12</v>
      </c>
      <c r="G83" s="2">
        <f t="shared" si="9"/>
        <v>53.78</v>
      </c>
      <c r="H83">
        <f t="shared" si="10"/>
        <v>10.756</v>
      </c>
      <c r="I83" t="s">
        <v>38</v>
      </c>
      <c r="J83" t="s">
        <v>39</v>
      </c>
      <c r="K83" t="s">
        <v>33</v>
      </c>
    </row>
    <row r="84" spans="1:11" x14ac:dyDescent="0.25">
      <c r="A84" t="s">
        <v>6</v>
      </c>
      <c r="B84" s="1">
        <f t="shared" si="11"/>
        <v>1083</v>
      </c>
      <c r="C84">
        <f t="shared" si="12"/>
        <v>7848</v>
      </c>
      <c r="D84" t="s">
        <v>28</v>
      </c>
      <c r="E84" s="2">
        <v>41.5</v>
      </c>
      <c r="F84" s="2">
        <v>141.27000000000001</v>
      </c>
      <c r="G84" s="2">
        <f t="shared" si="9"/>
        <v>99.77000000000001</v>
      </c>
      <c r="H84">
        <f t="shared" si="10"/>
        <v>19.954000000000004</v>
      </c>
      <c r="I84" t="s">
        <v>38</v>
      </c>
      <c r="J84" t="s">
        <v>39</v>
      </c>
      <c r="K84" t="s">
        <v>31</v>
      </c>
    </row>
    <row r="85" spans="1:11" x14ac:dyDescent="0.25">
      <c r="A85" t="s">
        <v>6</v>
      </c>
      <c r="B85" s="1">
        <f t="shared" si="11"/>
        <v>1084</v>
      </c>
      <c r="C85">
        <f t="shared" si="12"/>
        <v>7815</v>
      </c>
      <c r="D85" t="s">
        <v>18</v>
      </c>
      <c r="E85" s="2">
        <v>33.6</v>
      </c>
      <c r="F85" s="2">
        <v>84.17</v>
      </c>
      <c r="G85" s="2">
        <f t="shared" si="9"/>
        <v>50.57</v>
      </c>
      <c r="H85">
        <f t="shared" si="10"/>
        <v>10.114000000000001</v>
      </c>
      <c r="I85" t="s">
        <v>36</v>
      </c>
      <c r="J85" t="s">
        <v>37</v>
      </c>
      <c r="K85" t="s">
        <v>31</v>
      </c>
    </row>
    <row r="86" spans="1:11" x14ac:dyDescent="0.25">
      <c r="A86" t="s">
        <v>6</v>
      </c>
      <c r="B86" s="1">
        <f t="shared" si="11"/>
        <v>1085</v>
      </c>
      <c r="C86">
        <f t="shared" si="12"/>
        <v>7782</v>
      </c>
      <c r="D86" t="s">
        <v>20</v>
      </c>
      <c r="E86" s="2">
        <v>6.02</v>
      </c>
      <c r="F86" s="2">
        <v>38.43</v>
      </c>
      <c r="G86" s="2">
        <f t="shared" si="9"/>
        <v>32.409999999999997</v>
      </c>
      <c r="H86">
        <f t="shared" si="10"/>
        <v>3.2409999999999997</v>
      </c>
      <c r="I86" t="s">
        <v>38</v>
      </c>
      <c r="J86" t="s">
        <v>39</v>
      </c>
      <c r="K86" t="s">
        <v>32</v>
      </c>
    </row>
    <row r="87" spans="1:11" x14ac:dyDescent="0.25">
      <c r="A87" t="s">
        <v>6</v>
      </c>
      <c r="B87" s="1">
        <f t="shared" si="11"/>
        <v>1086</v>
      </c>
      <c r="C87">
        <f t="shared" si="12"/>
        <v>7749</v>
      </c>
      <c r="D87" t="s">
        <v>19</v>
      </c>
      <c r="E87" s="2">
        <v>40.99</v>
      </c>
      <c r="F87" s="2">
        <v>102.8</v>
      </c>
      <c r="G87" s="2">
        <f t="shared" si="9"/>
        <v>61.809999999999995</v>
      </c>
      <c r="H87">
        <f t="shared" si="10"/>
        <v>12.362</v>
      </c>
      <c r="I87" t="s">
        <v>36</v>
      </c>
      <c r="J87" t="s">
        <v>37</v>
      </c>
      <c r="K87" t="s">
        <v>31</v>
      </c>
    </row>
    <row r="88" spans="1:11" x14ac:dyDescent="0.25">
      <c r="A88" t="s">
        <v>6</v>
      </c>
      <c r="B88" s="1">
        <f t="shared" si="11"/>
        <v>1087</v>
      </c>
      <c r="C88">
        <f t="shared" si="12"/>
        <v>7716</v>
      </c>
      <c r="D88" t="s">
        <v>22</v>
      </c>
      <c r="E88" s="2">
        <v>42.61</v>
      </c>
      <c r="F88" s="2">
        <v>77.319999999999993</v>
      </c>
      <c r="G88" s="2">
        <f t="shared" si="9"/>
        <v>34.709999999999994</v>
      </c>
      <c r="H88">
        <f t="shared" si="10"/>
        <v>6.9419999999999993</v>
      </c>
      <c r="I88" t="s">
        <v>38</v>
      </c>
      <c r="J88" t="s">
        <v>39</v>
      </c>
      <c r="K88" t="s">
        <v>31</v>
      </c>
    </row>
    <row r="89" spans="1:11" x14ac:dyDescent="0.25">
      <c r="A89" t="s">
        <v>6</v>
      </c>
      <c r="B89" s="1">
        <f t="shared" si="11"/>
        <v>1088</v>
      </c>
      <c r="C89">
        <f t="shared" si="12"/>
        <v>7683</v>
      </c>
      <c r="D89" t="s">
        <v>21</v>
      </c>
      <c r="E89" s="2">
        <v>47.61</v>
      </c>
      <c r="F89" s="2">
        <v>109.9</v>
      </c>
      <c r="G89" s="2">
        <f t="shared" si="9"/>
        <v>62.290000000000006</v>
      </c>
      <c r="H89">
        <f t="shared" si="10"/>
        <v>12.458000000000002</v>
      </c>
      <c r="I89" t="s">
        <v>38</v>
      </c>
      <c r="J89" t="s">
        <v>39</v>
      </c>
      <c r="K89" t="s">
        <v>31</v>
      </c>
    </row>
    <row r="90" spans="1:11" x14ac:dyDescent="0.25">
      <c r="A90" t="s">
        <v>6</v>
      </c>
      <c r="B90" s="1">
        <f t="shared" si="11"/>
        <v>1089</v>
      </c>
      <c r="C90">
        <f t="shared" si="12"/>
        <v>7650</v>
      </c>
      <c r="D90" t="s">
        <v>19</v>
      </c>
      <c r="E90" s="2">
        <v>31.45</v>
      </c>
      <c r="F90" s="2">
        <v>82.2</v>
      </c>
      <c r="G90" s="2">
        <f t="shared" si="9"/>
        <v>50.75</v>
      </c>
      <c r="H90">
        <f t="shared" si="10"/>
        <v>10.15</v>
      </c>
      <c r="I90" t="s">
        <v>42</v>
      </c>
      <c r="J90" t="s">
        <v>43</v>
      </c>
      <c r="K90" t="s">
        <v>33</v>
      </c>
    </row>
    <row r="91" spans="1:11" x14ac:dyDescent="0.25">
      <c r="A91" t="s">
        <v>6</v>
      </c>
      <c r="B91" s="1">
        <f t="shared" si="11"/>
        <v>1090</v>
      </c>
      <c r="C91">
        <f t="shared" si="12"/>
        <v>7617</v>
      </c>
      <c r="D91" t="s">
        <v>19</v>
      </c>
      <c r="E91" s="2">
        <v>37.64</v>
      </c>
      <c r="F91" s="2">
        <v>136.54</v>
      </c>
      <c r="G91" s="2">
        <f t="shared" si="9"/>
        <v>98.899999999999991</v>
      </c>
      <c r="H91">
        <f t="shared" si="10"/>
        <v>19.78</v>
      </c>
      <c r="I91" t="s">
        <v>42</v>
      </c>
      <c r="J91" t="s">
        <v>43</v>
      </c>
      <c r="K91" t="s">
        <v>31</v>
      </c>
    </row>
    <row r="92" spans="1:11" x14ac:dyDescent="0.25">
      <c r="A92" t="s">
        <v>7</v>
      </c>
      <c r="B92" s="1">
        <f t="shared" si="11"/>
        <v>1091</v>
      </c>
      <c r="C92">
        <f t="shared" si="12"/>
        <v>7584</v>
      </c>
      <c r="D92" t="s">
        <v>23</v>
      </c>
      <c r="E92" s="2">
        <v>39.89</v>
      </c>
      <c r="F92" s="2">
        <v>113.33</v>
      </c>
      <c r="G92" s="2">
        <f t="shared" si="9"/>
        <v>73.44</v>
      </c>
      <c r="H92">
        <f t="shared" si="10"/>
        <v>14.688000000000001</v>
      </c>
      <c r="I92" t="s">
        <v>38</v>
      </c>
      <c r="J92" t="s">
        <v>39</v>
      </c>
      <c r="K92" t="s">
        <v>33</v>
      </c>
    </row>
    <row r="93" spans="1:11" x14ac:dyDescent="0.25">
      <c r="A93" t="s">
        <v>7</v>
      </c>
      <c r="B93" s="1">
        <f t="shared" si="11"/>
        <v>1092</v>
      </c>
      <c r="C93">
        <f t="shared" si="12"/>
        <v>7551</v>
      </c>
      <c r="D93" t="s">
        <v>19</v>
      </c>
      <c r="E93" s="2">
        <v>33.799999999999997</v>
      </c>
      <c r="F93" s="2">
        <v>82.15</v>
      </c>
      <c r="G93" s="2">
        <f t="shared" si="9"/>
        <v>48.350000000000009</v>
      </c>
      <c r="H93">
        <f t="shared" si="10"/>
        <v>9.6700000000000017</v>
      </c>
      <c r="I93" t="s">
        <v>42</v>
      </c>
      <c r="J93" t="s">
        <v>43</v>
      </c>
      <c r="K93" t="s">
        <v>30</v>
      </c>
    </row>
    <row r="94" spans="1:11" x14ac:dyDescent="0.25">
      <c r="A94" t="s">
        <v>7</v>
      </c>
      <c r="B94" s="1">
        <f t="shared" si="11"/>
        <v>1093</v>
      </c>
      <c r="C94">
        <f t="shared" si="12"/>
        <v>7518</v>
      </c>
      <c r="D94" t="s">
        <v>27</v>
      </c>
      <c r="E94" s="2">
        <v>19.95</v>
      </c>
      <c r="F94" s="2">
        <v>34.549999999999997</v>
      </c>
      <c r="G94" s="2">
        <f t="shared" si="9"/>
        <v>14.599999999999998</v>
      </c>
      <c r="H94">
        <f t="shared" si="10"/>
        <v>1.46</v>
      </c>
      <c r="I94" t="s">
        <v>40</v>
      </c>
      <c r="J94" t="s">
        <v>41</v>
      </c>
      <c r="K94" t="s">
        <v>31</v>
      </c>
    </row>
    <row r="95" spans="1:11" x14ac:dyDescent="0.25">
      <c r="A95" t="s">
        <v>7</v>
      </c>
      <c r="B95" s="1">
        <f t="shared" si="11"/>
        <v>1094</v>
      </c>
      <c r="C95">
        <f t="shared" si="12"/>
        <v>7485</v>
      </c>
      <c r="D95" t="s">
        <v>23</v>
      </c>
      <c r="E95" s="2">
        <v>39.119999999999997</v>
      </c>
      <c r="F95" s="2">
        <v>63.12</v>
      </c>
      <c r="G95" s="2">
        <f t="shared" si="9"/>
        <v>24</v>
      </c>
      <c r="H95">
        <f t="shared" si="10"/>
        <v>4.8000000000000007</v>
      </c>
      <c r="I95" t="s">
        <v>38</v>
      </c>
      <c r="J95" t="s">
        <v>39</v>
      </c>
      <c r="K95" t="s">
        <v>31</v>
      </c>
    </row>
    <row r="96" spans="1:11" x14ac:dyDescent="0.25">
      <c r="A96" t="s">
        <v>7</v>
      </c>
      <c r="B96" s="1">
        <f t="shared" si="11"/>
        <v>1095</v>
      </c>
      <c r="C96">
        <f t="shared" si="12"/>
        <v>7452</v>
      </c>
      <c r="D96" t="s">
        <v>26</v>
      </c>
      <c r="E96" s="2">
        <v>6.66</v>
      </c>
      <c r="F96" s="2">
        <v>81.53</v>
      </c>
      <c r="G96" s="2">
        <f t="shared" si="9"/>
        <v>74.87</v>
      </c>
      <c r="H96">
        <f t="shared" si="10"/>
        <v>14.974000000000002</v>
      </c>
      <c r="I96" t="s">
        <v>42</v>
      </c>
      <c r="J96" t="s">
        <v>43</v>
      </c>
      <c r="K96" t="s">
        <v>30</v>
      </c>
    </row>
    <row r="97" spans="1:11" x14ac:dyDescent="0.25">
      <c r="A97" t="s">
        <v>7</v>
      </c>
      <c r="B97" s="1">
        <f t="shared" si="11"/>
        <v>1096</v>
      </c>
      <c r="C97">
        <f t="shared" si="12"/>
        <v>7419</v>
      </c>
      <c r="D97" t="s">
        <v>26</v>
      </c>
      <c r="E97" s="2">
        <v>39.04</v>
      </c>
      <c r="F97" s="2">
        <v>117.43</v>
      </c>
      <c r="G97" s="2">
        <f t="shared" si="9"/>
        <v>78.390000000000015</v>
      </c>
      <c r="H97">
        <f t="shared" si="10"/>
        <v>15.678000000000004</v>
      </c>
      <c r="I97" t="s">
        <v>38</v>
      </c>
      <c r="J97" t="s">
        <v>39</v>
      </c>
      <c r="K97" t="s">
        <v>32</v>
      </c>
    </row>
    <row r="98" spans="1:11" x14ac:dyDescent="0.25">
      <c r="A98" t="s">
        <v>7</v>
      </c>
      <c r="B98" s="1">
        <f t="shared" si="11"/>
        <v>1097</v>
      </c>
      <c r="C98">
        <f t="shared" si="12"/>
        <v>7386</v>
      </c>
      <c r="D98" t="s">
        <v>26</v>
      </c>
      <c r="E98" s="2">
        <v>23.47</v>
      </c>
      <c r="F98" s="2">
        <v>100.76</v>
      </c>
      <c r="G98" s="2">
        <f t="shared" ref="G98:G129" si="13">F98-E98</f>
        <v>77.290000000000006</v>
      </c>
      <c r="H98">
        <f t="shared" ref="H98:H129" si="14">IF(F98&gt;50,G98*0.2,G98*0.1)</f>
        <v>15.458000000000002</v>
      </c>
      <c r="I98" t="s">
        <v>40</v>
      </c>
      <c r="J98" t="s">
        <v>41</v>
      </c>
      <c r="K98" t="s">
        <v>33</v>
      </c>
    </row>
    <row r="99" spans="1:11" x14ac:dyDescent="0.25">
      <c r="A99" t="s">
        <v>7</v>
      </c>
      <c r="B99" s="1">
        <f t="shared" ref="B99:B130" si="15">B98+1</f>
        <v>1098</v>
      </c>
      <c r="C99">
        <f t="shared" si="12"/>
        <v>7353</v>
      </c>
      <c r="D99" t="s">
        <v>27</v>
      </c>
      <c r="E99" s="2">
        <v>23.88</v>
      </c>
      <c r="F99" s="2">
        <v>68.040000000000006</v>
      </c>
      <c r="G99" s="2">
        <f t="shared" si="13"/>
        <v>44.160000000000011</v>
      </c>
      <c r="H99">
        <f t="shared" si="14"/>
        <v>8.8320000000000025</v>
      </c>
      <c r="I99" t="s">
        <v>38</v>
      </c>
      <c r="J99" t="s">
        <v>39</v>
      </c>
      <c r="K99" t="s">
        <v>33</v>
      </c>
    </row>
    <row r="100" spans="1:11" x14ac:dyDescent="0.25">
      <c r="A100" t="s">
        <v>7</v>
      </c>
      <c r="B100" s="1">
        <f t="shared" si="15"/>
        <v>1099</v>
      </c>
      <c r="C100">
        <f t="shared" si="12"/>
        <v>7320</v>
      </c>
      <c r="D100" t="s">
        <v>19</v>
      </c>
      <c r="E100" s="2">
        <v>24.67</v>
      </c>
      <c r="F100" s="2">
        <v>111.95</v>
      </c>
      <c r="G100" s="2">
        <f t="shared" si="13"/>
        <v>87.28</v>
      </c>
      <c r="H100">
        <f t="shared" si="14"/>
        <v>17.456</v>
      </c>
      <c r="I100" t="s">
        <v>42</v>
      </c>
      <c r="J100" t="s">
        <v>43</v>
      </c>
      <c r="K100" t="s">
        <v>30</v>
      </c>
    </row>
    <row r="101" spans="1:11" x14ac:dyDescent="0.25">
      <c r="A101" t="s">
        <v>7</v>
      </c>
      <c r="B101" s="1">
        <f t="shared" si="15"/>
        <v>1100</v>
      </c>
      <c r="C101">
        <f t="shared" si="12"/>
        <v>7287</v>
      </c>
      <c r="D101" t="s">
        <v>20</v>
      </c>
      <c r="E101" s="2">
        <v>49.59</v>
      </c>
      <c r="F101" s="2">
        <v>127.45</v>
      </c>
      <c r="G101" s="2">
        <f t="shared" si="13"/>
        <v>77.86</v>
      </c>
      <c r="H101">
        <f t="shared" si="14"/>
        <v>15.572000000000001</v>
      </c>
      <c r="I101" t="s">
        <v>38</v>
      </c>
      <c r="J101" t="s">
        <v>39</v>
      </c>
      <c r="K101" t="s">
        <v>33</v>
      </c>
    </row>
    <row r="102" spans="1:11" x14ac:dyDescent="0.25">
      <c r="A102" t="s">
        <v>7</v>
      </c>
      <c r="B102" s="1">
        <f t="shared" si="15"/>
        <v>1101</v>
      </c>
      <c r="C102">
        <f t="shared" si="12"/>
        <v>7254</v>
      </c>
      <c r="D102" t="s">
        <v>27</v>
      </c>
      <c r="E102" s="2">
        <v>49.14</v>
      </c>
      <c r="F102" s="2">
        <v>105.64</v>
      </c>
      <c r="G102" s="2">
        <f t="shared" si="13"/>
        <v>56.5</v>
      </c>
      <c r="H102">
        <f t="shared" si="14"/>
        <v>11.3</v>
      </c>
      <c r="I102" t="s">
        <v>42</v>
      </c>
      <c r="J102" t="s">
        <v>43</v>
      </c>
      <c r="K102" t="s">
        <v>33</v>
      </c>
    </row>
    <row r="103" spans="1:11" x14ac:dyDescent="0.25">
      <c r="A103" t="s">
        <v>7</v>
      </c>
      <c r="B103" s="1">
        <f t="shared" si="15"/>
        <v>1102</v>
      </c>
      <c r="C103">
        <f t="shared" si="12"/>
        <v>7221</v>
      </c>
      <c r="D103" t="s">
        <v>23</v>
      </c>
      <c r="E103" s="2">
        <v>13.51</v>
      </c>
      <c r="F103" s="2">
        <v>22.42</v>
      </c>
      <c r="G103" s="2">
        <f t="shared" si="13"/>
        <v>8.9100000000000019</v>
      </c>
      <c r="H103">
        <f t="shared" si="14"/>
        <v>0.89100000000000024</v>
      </c>
      <c r="I103" t="s">
        <v>40</v>
      </c>
      <c r="J103" t="s">
        <v>41</v>
      </c>
      <c r="K103" t="s">
        <v>33</v>
      </c>
    </row>
    <row r="104" spans="1:11" x14ac:dyDescent="0.25">
      <c r="A104" t="s">
        <v>7</v>
      </c>
      <c r="B104" s="1">
        <f t="shared" si="15"/>
        <v>1103</v>
      </c>
      <c r="C104">
        <f t="shared" si="12"/>
        <v>7188</v>
      </c>
      <c r="D104" t="s">
        <v>26</v>
      </c>
      <c r="E104" s="2">
        <v>21.8</v>
      </c>
      <c r="F104" s="2">
        <v>88.39</v>
      </c>
      <c r="G104" s="2">
        <f t="shared" si="13"/>
        <v>66.59</v>
      </c>
      <c r="H104">
        <f t="shared" si="14"/>
        <v>13.318000000000001</v>
      </c>
      <c r="I104" t="s">
        <v>38</v>
      </c>
      <c r="J104" t="s">
        <v>39</v>
      </c>
      <c r="K104" t="s">
        <v>31</v>
      </c>
    </row>
    <row r="105" spans="1:11" x14ac:dyDescent="0.25">
      <c r="A105" t="s">
        <v>7</v>
      </c>
      <c r="B105" s="1">
        <f t="shared" si="15"/>
        <v>1104</v>
      </c>
      <c r="C105">
        <f t="shared" si="12"/>
        <v>7155</v>
      </c>
      <c r="D105" t="s">
        <v>19</v>
      </c>
      <c r="E105" s="2">
        <v>9.39</v>
      </c>
      <c r="F105" s="2">
        <v>56.75</v>
      </c>
      <c r="G105" s="2">
        <f t="shared" si="13"/>
        <v>47.36</v>
      </c>
      <c r="H105">
        <f t="shared" si="14"/>
        <v>9.4719999999999995</v>
      </c>
      <c r="I105" t="s">
        <v>36</v>
      </c>
      <c r="J105" t="s">
        <v>37</v>
      </c>
      <c r="K105" t="s">
        <v>33</v>
      </c>
    </row>
    <row r="106" spans="1:11" x14ac:dyDescent="0.25">
      <c r="A106" t="s">
        <v>7</v>
      </c>
      <c r="B106" s="1">
        <f t="shared" si="15"/>
        <v>1105</v>
      </c>
      <c r="C106">
        <f t="shared" si="12"/>
        <v>7122</v>
      </c>
      <c r="D106" t="s">
        <v>24</v>
      </c>
      <c r="E106" s="2">
        <v>22.15</v>
      </c>
      <c r="F106" s="2">
        <v>57.97</v>
      </c>
      <c r="G106" s="2">
        <f t="shared" si="13"/>
        <v>35.82</v>
      </c>
      <c r="H106">
        <f t="shared" si="14"/>
        <v>7.1640000000000006</v>
      </c>
      <c r="I106" t="s">
        <v>38</v>
      </c>
      <c r="J106" t="s">
        <v>39</v>
      </c>
      <c r="K106" t="s">
        <v>30</v>
      </c>
    </row>
    <row r="107" spans="1:11" x14ac:dyDescent="0.25">
      <c r="A107" t="s">
        <v>8</v>
      </c>
      <c r="B107" s="1">
        <f t="shared" si="15"/>
        <v>1106</v>
      </c>
      <c r="C107">
        <f t="shared" si="12"/>
        <v>7089</v>
      </c>
      <c r="D107" t="s">
        <v>26</v>
      </c>
      <c r="E107" s="2">
        <v>10.19</v>
      </c>
      <c r="F107" s="2">
        <v>81.84</v>
      </c>
      <c r="G107" s="2">
        <f t="shared" si="13"/>
        <v>71.650000000000006</v>
      </c>
      <c r="H107">
        <f t="shared" si="14"/>
        <v>14.330000000000002</v>
      </c>
      <c r="I107" t="s">
        <v>40</v>
      </c>
      <c r="J107" t="s">
        <v>41</v>
      </c>
      <c r="K107" t="s">
        <v>32</v>
      </c>
    </row>
    <row r="108" spans="1:11" x14ac:dyDescent="0.25">
      <c r="A108" t="s">
        <v>8</v>
      </c>
      <c r="B108" s="1">
        <f t="shared" si="15"/>
        <v>1107</v>
      </c>
      <c r="C108">
        <f t="shared" si="12"/>
        <v>7056</v>
      </c>
      <c r="D108" t="s">
        <v>24</v>
      </c>
      <c r="E108" s="2">
        <v>29.67</v>
      </c>
      <c r="F108" s="2">
        <v>129.41999999999999</v>
      </c>
      <c r="G108" s="2">
        <f t="shared" si="13"/>
        <v>99.749999999999986</v>
      </c>
      <c r="H108">
        <f t="shared" si="14"/>
        <v>19.95</v>
      </c>
      <c r="I108" t="s">
        <v>38</v>
      </c>
      <c r="J108" t="s">
        <v>39</v>
      </c>
      <c r="K108" t="s">
        <v>33</v>
      </c>
    </row>
    <row r="109" spans="1:11" x14ac:dyDescent="0.25">
      <c r="A109" t="s">
        <v>8</v>
      </c>
      <c r="B109" s="1">
        <f t="shared" si="15"/>
        <v>1108</v>
      </c>
      <c r="C109">
        <f t="shared" si="12"/>
        <v>7023</v>
      </c>
      <c r="D109" t="s">
        <v>20</v>
      </c>
      <c r="E109" s="2">
        <v>21.83</v>
      </c>
      <c r="F109" s="2">
        <v>50.59</v>
      </c>
      <c r="G109" s="2">
        <f t="shared" si="13"/>
        <v>28.760000000000005</v>
      </c>
      <c r="H109">
        <f t="shared" si="14"/>
        <v>5.7520000000000016</v>
      </c>
      <c r="I109" t="s">
        <v>38</v>
      </c>
      <c r="J109" t="s">
        <v>39</v>
      </c>
      <c r="K109" t="s">
        <v>33</v>
      </c>
    </row>
    <row r="110" spans="1:11" x14ac:dyDescent="0.25">
      <c r="A110" t="s">
        <v>8</v>
      </c>
      <c r="B110" s="1">
        <f t="shared" si="15"/>
        <v>1109</v>
      </c>
      <c r="C110">
        <f t="shared" si="12"/>
        <v>6990</v>
      </c>
      <c r="D110" t="s">
        <v>24</v>
      </c>
      <c r="E110" s="2">
        <v>48</v>
      </c>
      <c r="F110" s="2">
        <v>94.81</v>
      </c>
      <c r="G110" s="2">
        <f t="shared" si="13"/>
        <v>46.81</v>
      </c>
      <c r="H110">
        <f t="shared" si="14"/>
        <v>9.3620000000000001</v>
      </c>
      <c r="I110" t="s">
        <v>42</v>
      </c>
      <c r="J110" t="s">
        <v>43</v>
      </c>
      <c r="K110" t="s">
        <v>31</v>
      </c>
    </row>
    <row r="111" spans="1:11" x14ac:dyDescent="0.25">
      <c r="A111" t="s">
        <v>8</v>
      </c>
      <c r="B111" s="1">
        <f t="shared" si="15"/>
        <v>1110</v>
      </c>
      <c r="C111">
        <f t="shared" ref="C111:C142" si="16">C110-33</f>
        <v>6957</v>
      </c>
      <c r="D111" t="s">
        <v>22</v>
      </c>
      <c r="E111" s="2">
        <v>20.99</v>
      </c>
      <c r="F111" s="2">
        <v>69.209999999999994</v>
      </c>
      <c r="G111" s="2">
        <f t="shared" si="13"/>
        <v>48.22</v>
      </c>
      <c r="H111">
        <f t="shared" si="14"/>
        <v>9.6440000000000001</v>
      </c>
      <c r="I111" t="s">
        <v>42</v>
      </c>
      <c r="J111" t="s">
        <v>43</v>
      </c>
      <c r="K111" t="s">
        <v>32</v>
      </c>
    </row>
    <row r="112" spans="1:11" x14ac:dyDescent="0.25">
      <c r="A112" t="s">
        <v>8</v>
      </c>
      <c r="B112" s="1">
        <f t="shared" si="15"/>
        <v>1111</v>
      </c>
      <c r="C112">
        <f t="shared" si="16"/>
        <v>6924</v>
      </c>
      <c r="D112" t="s">
        <v>26</v>
      </c>
      <c r="E112" s="2">
        <v>43.41</v>
      </c>
      <c r="F112" s="2">
        <v>88.59</v>
      </c>
      <c r="G112" s="2">
        <f t="shared" si="13"/>
        <v>45.180000000000007</v>
      </c>
      <c r="H112">
        <f t="shared" si="14"/>
        <v>9.0360000000000014</v>
      </c>
      <c r="I112" t="s">
        <v>36</v>
      </c>
      <c r="J112" t="s">
        <v>37</v>
      </c>
      <c r="K112" t="s">
        <v>30</v>
      </c>
    </row>
    <row r="113" spans="1:11" x14ac:dyDescent="0.25">
      <c r="A113" t="s">
        <v>8</v>
      </c>
      <c r="B113" s="1">
        <f t="shared" si="15"/>
        <v>1112</v>
      </c>
      <c r="C113">
        <f t="shared" si="16"/>
        <v>6891</v>
      </c>
      <c r="D113" t="s">
        <v>23</v>
      </c>
      <c r="E113" s="2">
        <v>10.95</v>
      </c>
      <c r="F113" s="2">
        <v>23.55</v>
      </c>
      <c r="G113" s="2">
        <f t="shared" si="13"/>
        <v>12.600000000000001</v>
      </c>
      <c r="H113">
        <f t="shared" si="14"/>
        <v>1.2600000000000002</v>
      </c>
      <c r="I113" t="s">
        <v>42</v>
      </c>
      <c r="J113" t="s">
        <v>43</v>
      </c>
      <c r="K113" t="s">
        <v>32</v>
      </c>
    </row>
    <row r="114" spans="1:11" x14ac:dyDescent="0.25">
      <c r="A114" t="s">
        <v>8</v>
      </c>
      <c r="B114" s="1">
        <f t="shared" si="15"/>
        <v>1113</v>
      </c>
      <c r="C114">
        <f t="shared" si="16"/>
        <v>6858</v>
      </c>
      <c r="D114" t="s">
        <v>26</v>
      </c>
      <c r="E114" s="2">
        <v>37.130000000000003</v>
      </c>
      <c r="F114" s="2">
        <v>46.17</v>
      </c>
      <c r="G114" s="2">
        <f t="shared" si="13"/>
        <v>9.0399999999999991</v>
      </c>
      <c r="H114">
        <f t="shared" si="14"/>
        <v>0.90399999999999991</v>
      </c>
      <c r="I114" t="s">
        <v>38</v>
      </c>
      <c r="J114" t="s">
        <v>39</v>
      </c>
      <c r="K114" t="s">
        <v>31</v>
      </c>
    </row>
    <row r="115" spans="1:11" x14ac:dyDescent="0.25">
      <c r="A115" t="s">
        <v>8</v>
      </c>
      <c r="B115" s="1">
        <f t="shared" si="15"/>
        <v>1114</v>
      </c>
      <c r="C115">
        <f t="shared" si="16"/>
        <v>6825</v>
      </c>
      <c r="D115" t="s">
        <v>26</v>
      </c>
      <c r="E115" s="2">
        <v>30.36</v>
      </c>
      <c r="F115" s="2">
        <v>121.77</v>
      </c>
      <c r="G115" s="2">
        <f t="shared" si="13"/>
        <v>91.41</v>
      </c>
      <c r="H115">
        <f t="shared" si="14"/>
        <v>18.282</v>
      </c>
      <c r="I115" t="s">
        <v>40</v>
      </c>
      <c r="J115" t="s">
        <v>41</v>
      </c>
      <c r="K115" t="s">
        <v>32</v>
      </c>
    </row>
    <row r="116" spans="1:11" x14ac:dyDescent="0.25">
      <c r="A116" t="s">
        <v>8</v>
      </c>
      <c r="B116" s="1">
        <f t="shared" si="15"/>
        <v>1115</v>
      </c>
      <c r="C116">
        <f t="shared" si="16"/>
        <v>6792</v>
      </c>
      <c r="D116" t="s">
        <v>25</v>
      </c>
      <c r="E116" s="2">
        <v>28.31</v>
      </c>
      <c r="F116" s="2">
        <v>104.46</v>
      </c>
      <c r="G116" s="2">
        <f t="shared" si="13"/>
        <v>76.149999999999991</v>
      </c>
      <c r="H116">
        <f t="shared" si="14"/>
        <v>15.229999999999999</v>
      </c>
      <c r="I116" t="s">
        <v>42</v>
      </c>
      <c r="J116" t="s">
        <v>43</v>
      </c>
      <c r="K116" t="s">
        <v>31</v>
      </c>
    </row>
    <row r="117" spans="1:11" x14ac:dyDescent="0.25">
      <c r="A117" t="s">
        <v>8</v>
      </c>
      <c r="B117" s="1">
        <f t="shared" si="15"/>
        <v>1116</v>
      </c>
      <c r="C117">
        <f t="shared" si="16"/>
        <v>6759</v>
      </c>
      <c r="D117" t="s">
        <v>19</v>
      </c>
      <c r="E117" s="2">
        <v>25.38</v>
      </c>
      <c r="F117" s="2">
        <v>125.25</v>
      </c>
      <c r="G117" s="2">
        <f t="shared" si="13"/>
        <v>99.87</v>
      </c>
      <c r="H117">
        <f t="shared" si="14"/>
        <v>19.974000000000004</v>
      </c>
      <c r="I117" t="s">
        <v>38</v>
      </c>
      <c r="J117" t="s">
        <v>39</v>
      </c>
      <c r="K117" t="s">
        <v>31</v>
      </c>
    </row>
    <row r="118" spans="1:11" x14ac:dyDescent="0.25">
      <c r="A118" t="s">
        <v>8</v>
      </c>
      <c r="B118" s="1">
        <f t="shared" si="15"/>
        <v>1117</v>
      </c>
      <c r="C118">
        <f t="shared" si="16"/>
        <v>6726</v>
      </c>
      <c r="D118" t="s">
        <v>23</v>
      </c>
      <c r="E118" s="2">
        <v>25.61</v>
      </c>
      <c r="F118" s="2">
        <v>120.1</v>
      </c>
      <c r="G118" s="2">
        <f t="shared" si="13"/>
        <v>94.49</v>
      </c>
      <c r="H118">
        <f t="shared" si="14"/>
        <v>18.898</v>
      </c>
      <c r="I118" t="s">
        <v>38</v>
      </c>
      <c r="J118" t="s">
        <v>39</v>
      </c>
      <c r="K118" t="s">
        <v>31</v>
      </c>
    </row>
    <row r="119" spans="1:11" x14ac:dyDescent="0.25">
      <c r="A119" t="s">
        <v>8</v>
      </c>
      <c r="B119" s="1">
        <f t="shared" si="15"/>
        <v>1118</v>
      </c>
      <c r="C119">
        <f t="shared" si="16"/>
        <v>6693</v>
      </c>
      <c r="D119" t="s">
        <v>23</v>
      </c>
      <c r="E119" s="2">
        <v>14.55</v>
      </c>
      <c r="F119" s="2">
        <v>37.06</v>
      </c>
      <c r="G119" s="2">
        <f t="shared" si="13"/>
        <v>22.51</v>
      </c>
      <c r="H119">
        <f t="shared" si="14"/>
        <v>2.2510000000000003</v>
      </c>
      <c r="I119" t="s">
        <v>38</v>
      </c>
      <c r="J119" t="s">
        <v>39</v>
      </c>
      <c r="K119" t="s">
        <v>30</v>
      </c>
    </row>
    <row r="120" spans="1:11" x14ac:dyDescent="0.25">
      <c r="A120" t="s">
        <v>8</v>
      </c>
      <c r="B120" s="1">
        <f t="shared" si="15"/>
        <v>1119</v>
      </c>
      <c r="C120">
        <f t="shared" si="16"/>
        <v>6660</v>
      </c>
      <c r="D120" t="s">
        <v>25</v>
      </c>
      <c r="E120" s="2">
        <v>37.1</v>
      </c>
      <c r="F120" s="2">
        <v>47.08</v>
      </c>
      <c r="G120" s="2">
        <f t="shared" si="13"/>
        <v>9.9799999999999969</v>
      </c>
      <c r="H120">
        <f t="shared" si="14"/>
        <v>0.99799999999999978</v>
      </c>
      <c r="I120" t="s">
        <v>38</v>
      </c>
      <c r="J120" t="s">
        <v>39</v>
      </c>
      <c r="K120" t="s">
        <v>31</v>
      </c>
    </row>
    <row r="121" spans="1:11" x14ac:dyDescent="0.25">
      <c r="A121" t="s">
        <v>8</v>
      </c>
      <c r="B121" s="1">
        <f t="shared" si="15"/>
        <v>1120</v>
      </c>
      <c r="C121">
        <f t="shared" si="16"/>
        <v>6627</v>
      </c>
      <c r="D121" t="s">
        <v>20</v>
      </c>
      <c r="E121" s="2">
        <v>24.3</v>
      </c>
      <c r="F121" s="2">
        <v>121.7</v>
      </c>
      <c r="G121" s="2">
        <f t="shared" si="13"/>
        <v>97.4</v>
      </c>
      <c r="H121">
        <f t="shared" si="14"/>
        <v>19.480000000000004</v>
      </c>
      <c r="I121" t="s">
        <v>38</v>
      </c>
      <c r="J121" t="s">
        <v>39</v>
      </c>
      <c r="K121" t="s">
        <v>31</v>
      </c>
    </row>
    <row r="122" spans="1:11" x14ac:dyDescent="0.25">
      <c r="A122" t="s">
        <v>9</v>
      </c>
      <c r="B122" s="1">
        <f t="shared" si="15"/>
        <v>1121</v>
      </c>
      <c r="C122">
        <f t="shared" si="16"/>
        <v>6594</v>
      </c>
      <c r="D122" t="s">
        <v>23</v>
      </c>
      <c r="E122" s="2">
        <v>10.4</v>
      </c>
      <c r="F122" s="2">
        <v>105.77</v>
      </c>
      <c r="G122" s="2">
        <f t="shared" si="13"/>
        <v>95.36999999999999</v>
      </c>
      <c r="H122">
        <f t="shared" si="14"/>
        <v>19.073999999999998</v>
      </c>
      <c r="I122" t="s">
        <v>42</v>
      </c>
      <c r="J122" t="s">
        <v>43</v>
      </c>
      <c r="K122" t="s">
        <v>32</v>
      </c>
    </row>
    <row r="123" spans="1:11" x14ac:dyDescent="0.25">
      <c r="A123" t="s">
        <v>9</v>
      </c>
      <c r="B123" s="1">
        <f t="shared" si="15"/>
        <v>1122</v>
      </c>
      <c r="C123">
        <f t="shared" si="16"/>
        <v>6561</v>
      </c>
      <c r="D123" t="s">
        <v>27</v>
      </c>
      <c r="E123" s="2">
        <v>20.59</v>
      </c>
      <c r="F123" s="2">
        <v>64.349999999999994</v>
      </c>
      <c r="G123" s="2">
        <f t="shared" si="13"/>
        <v>43.759999999999991</v>
      </c>
      <c r="H123">
        <f t="shared" si="14"/>
        <v>8.7519999999999989</v>
      </c>
      <c r="I123" t="s">
        <v>38</v>
      </c>
      <c r="J123" t="s">
        <v>39</v>
      </c>
      <c r="K123" t="s">
        <v>31</v>
      </c>
    </row>
    <row r="124" spans="1:11" x14ac:dyDescent="0.25">
      <c r="A124" t="s">
        <v>9</v>
      </c>
      <c r="B124" s="1">
        <f t="shared" si="15"/>
        <v>1123</v>
      </c>
      <c r="C124">
        <f t="shared" si="16"/>
        <v>6528</v>
      </c>
      <c r="D124" t="s">
        <v>26</v>
      </c>
      <c r="E124" s="2">
        <v>49.82</v>
      </c>
      <c r="F124" s="2">
        <v>106.41</v>
      </c>
      <c r="G124" s="2">
        <f t="shared" si="13"/>
        <v>56.589999999999996</v>
      </c>
      <c r="H124">
        <f t="shared" si="14"/>
        <v>11.318</v>
      </c>
      <c r="I124" t="s">
        <v>36</v>
      </c>
      <c r="J124" t="s">
        <v>37</v>
      </c>
      <c r="K124" t="s">
        <v>31</v>
      </c>
    </row>
    <row r="125" spans="1:11" x14ac:dyDescent="0.25">
      <c r="A125" t="s">
        <v>9</v>
      </c>
      <c r="B125" s="1">
        <f t="shared" si="15"/>
        <v>1124</v>
      </c>
      <c r="C125">
        <f t="shared" si="16"/>
        <v>6495</v>
      </c>
      <c r="D125" t="s">
        <v>23</v>
      </c>
      <c r="E125" s="2">
        <v>18.88</v>
      </c>
      <c r="F125" s="2">
        <v>40.549999999999997</v>
      </c>
      <c r="G125" s="2">
        <f t="shared" si="13"/>
        <v>21.669999999999998</v>
      </c>
      <c r="H125">
        <f t="shared" si="14"/>
        <v>2.1669999999999998</v>
      </c>
      <c r="I125" t="s">
        <v>38</v>
      </c>
      <c r="J125" t="s">
        <v>39</v>
      </c>
      <c r="K125" t="s">
        <v>31</v>
      </c>
    </row>
    <row r="126" spans="1:11" x14ac:dyDescent="0.25">
      <c r="A126" t="s">
        <v>9</v>
      </c>
      <c r="B126" s="1">
        <f t="shared" si="15"/>
        <v>1125</v>
      </c>
      <c r="C126">
        <f t="shared" si="16"/>
        <v>6462</v>
      </c>
      <c r="D126" t="s">
        <v>19</v>
      </c>
      <c r="E126" s="2">
        <v>49.03</v>
      </c>
      <c r="F126" s="2">
        <v>146.09</v>
      </c>
      <c r="G126" s="2">
        <f t="shared" si="13"/>
        <v>97.06</v>
      </c>
      <c r="H126">
        <f t="shared" si="14"/>
        <v>19.412000000000003</v>
      </c>
      <c r="I126" t="s">
        <v>42</v>
      </c>
      <c r="J126" t="s">
        <v>43</v>
      </c>
      <c r="K126" t="s">
        <v>33</v>
      </c>
    </row>
    <row r="127" spans="1:11" x14ac:dyDescent="0.25">
      <c r="A127" t="s">
        <v>9</v>
      </c>
      <c r="B127" s="1">
        <f t="shared" si="15"/>
        <v>1126</v>
      </c>
      <c r="C127">
        <f t="shared" si="16"/>
        <v>6429</v>
      </c>
      <c r="D127" t="s">
        <v>26</v>
      </c>
      <c r="E127" s="2">
        <v>14.7</v>
      </c>
      <c r="F127" s="2">
        <v>84.31</v>
      </c>
      <c r="G127" s="2">
        <f t="shared" si="13"/>
        <v>69.61</v>
      </c>
      <c r="H127">
        <f t="shared" si="14"/>
        <v>13.922000000000001</v>
      </c>
      <c r="I127" t="s">
        <v>36</v>
      </c>
      <c r="J127" t="s">
        <v>37</v>
      </c>
      <c r="K127" t="s">
        <v>33</v>
      </c>
    </row>
    <row r="128" spans="1:11" x14ac:dyDescent="0.25">
      <c r="A128" t="s">
        <v>9</v>
      </c>
      <c r="B128" s="1">
        <f t="shared" si="15"/>
        <v>1127</v>
      </c>
      <c r="C128">
        <f t="shared" si="16"/>
        <v>6396</v>
      </c>
      <c r="D128" t="s">
        <v>26</v>
      </c>
      <c r="E128" s="2">
        <v>26.44</v>
      </c>
      <c r="F128" s="2">
        <v>65.819999999999993</v>
      </c>
      <c r="G128" s="2">
        <f t="shared" si="13"/>
        <v>39.379999999999995</v>
      </c>
      <c r="H128">
        <f t="shared" si="14"/>
        <v>7.8759999999999994</v>
      </c>
      <c r="I128" t="s">
        <v>42</v>
      </c>
      <c r="J128" t="s">
        <v>43</v>
      </c>
      <c r="K128" t="s">
        <v>33</v>
      </c>
    </row>
    <row r="129" spans="1:11" x14ac:dyDescent="0.25">
      <c r="A129" t="s">
        <v>9</v>
      </c>
      <c r="B129" s="1">
        <f t="shared" si="15"/>
        <v>1128</v>
      </c>
      <c r="C129">
        <f t="shared" si="16"/>
        <v>6363</v>
      </c>
      <c r="D129" t="s">
        <v>24</v>
      </c>
      <c r="E129" s="2">
        <v>7.02</v>
      </c>
      <c r="F129" s="2">
        <v>71.95</v>
      </c>
      <c r="G129" s="2">
        <f t="shared" si="13"/>
        <v>64.930000000000007</v>
      </c>
      <c r="H129">
        <f t="shared" si="14"/>
        <v>12.986000000000002</v>
      </c>
      <c r="I129" t="s">
        <v>42</v>
      </c>
      <c r="J129" t="s">
        <v>43</v>
      </c>
      <c r="K129" t="s">
        <v>32</v>
      </c>
    </row>
    <row r="130" spans="1:11" x14ac:dyDescent="0.25">
      <c r="A130" t="s">
        <v>9</v>
      </c>
      <c r="B130" s="1">
        <f t="shared" si="15"/>
        <v>1129</v>
      </c>
      <c r="C130">
        <f t="shared" si="16"/>
        <v>6330</v>
      </c>
      <c r="D130" t="s">
        <v>23</v>
      </c>
      <c r="E130" s="2">
        <v>28.41</v>
      </c>
      <c r="F130" s="2">
        <v>70.95</v>
      </c>
      <c r="G130" s="2">
        <f t="shared" ref="G130:G161" si="17">F130-E130</f>
        <v>42.540000000000006</v>
      </c>
      <c r="H130">
        <f t="shared" ref="H130:H161" si="18">IF(F130&gt;50,G130*0.2,G130*0.1)</f>
        <v>8.5080000000000009</v>
      </c>
      <c r="I130" t="s">
        <v>38</v>
      </c>
      <c r="J130" t="s">
        <v>39</v>
      </c>
      <c r="K130" t="s">
        <v>33</v>
      </c>
    </row>
    <row r="131" spans="1:11" x14ac:dyDescent="0.25">
      <c r="A131" t="s">
        <v>9</v>
      </c>
      <c r="B131" s="1">
        <f t="shared" ref="B131:B162" si="19">B130+1</f>
        <v>1130</v>
      </c>
      <c r="C131">
        <f t="shared" si="16"/>
        <v>6297</v>
      </c>
      <c r="D131" t="s">
        <v>23</v>
      </c>
      <c r="E131" s="2">
        <v>16.32</v>
      </c>
      <c r="F131" s="2">
        <v>110.95</v>
      </c>
      <c r="G131" s="2">
        <f t="shared" si="17"/>
        <v>94.63</v>
      </c>
      <c r="H131">
        <f t="shared" si="18"/>
        <v>18.925999999999998</v>
      </c>
      <c r="I131" t="s">
        <v>38</v>
      </c>
      <c r="J131" t="s">
        <v>39</v>
      </c>
      <c r="K131" t="s">
        <v>31</v>
      </c>
    </row>
    <row r="132" spans="1:11" x14ac:dyDescent="0.25">
      <c r="A132" t="s">
        <v>9</v>
      </c>
      <c r="B132" s="1">
        <f t="shared" si="19"/>
        <v>1131</v>
      </c>
      <c r="C132">
        <f t="shared" si="16"/>
        <v>6264</v>
      </c>
      <c r="D132" t="s">
        <v>21</v>
      </c>
      <c r="E132" s="2">
        <v>14.85</v>
      </c>
      <c r="F132" s="2">
        <v>55.65</v>
      </c>
      <c r="G132" s="2">
        <f t="shared" si="17"/>
        <v>40.799999999999997</v>
      </c>
      <c r="H132">
        <f t="shared" si="18"/>
        <v>8.16</v>
      </c>
      <c r="I132" t="s">
        <v>36</v>
      </c>
      <c r="J132" t="s">
        <v>37</v>
      </c>
      <c r="K132" t="s">
        <v>32</v>
      </c>
    </row>
    <row r="133" spans="1:11" x14ac:dyDescent="0.25">
      <c r="A133" t="s">
        <v>9</v>
      </c>
      <c r="B133" s="1">
        <f t="shared" si="19"/>
        <v>1132</v>
      </c>
      <c r="C133">
        <f t="shared" si="16"/>
        <v>6231</v>
      </c>
      <c r="D133" t="s">
        <v>19</v>
      </c>
      <c r="E133" s="2">
        <v>13.9</v>
      </c>
      <c r="F133" s="2">
        <v>109.77</v>
      </c>
      <c r="G133" s="2">
        <f t="shared" si="17"/>
        <v>95.86999999999999</v>
      </c>
      <c r="H133">
        <f t="shared" si="18"/>
        <v>19.173999999999999</v>
      </c>
      <c r="I133" t="s">
        <v>42</v>
      </c>
      <c r="J133" t="s">
        <v>43</v>
      </c>
      <c r="K133" t="s">
        <v>32</v>
      </c>
    </row>
    <row r="134" spans="1:11" x14ac:dyDescent="0.25">
      <c r="A134" t="s">
        <v>9</v>
      </c>
      <c r="B134" s="1">
        <f t="shared" si="19"/>
        <v>1133</v>
      </c>
      <c r="C134">
        <f t="shared" si="16"/>
        <v>6198</v>
      </c>
      <c r="D134" t="s">
        <v>27</v>
      </c>
      <c r="E134" s="2">
        <v>25.8</v>
      </c>
      <c r="F134" s="2">
        <v>75.180000000000007</v>
      </c>
      <c r="G134" s="2">
        <f t="shared" si="17"/>
        <v>49.38000000000001</v>
      </c>
      <c r="H134">
        <f t="shared" si="18"/>
        <v>9.876000000000003</v>
      </c>
      <c r="I134" t="s">
        <v>36</v>
      </c>
      <c r="J134" t="s">
        <v>37</v>
      </c>
      <c r="K134" t="s">
        <v>33</v>
      </c>
    </row>
    <row r="135" spans="1:11" x14ac:dyDescent="0.25">
      <c r="A135" t="s">
        <v>9</v>
      </c>
      <c r="B135" s="1">
        <f t="shared" si="19"/>
        <v>1134</v>
      </c>
      <c r="C135">
        <f t="shared" si="16"/>
        <v>6165</v>
      </c>
      <c r="D135" t="s">
        <v>25</v>
      </c>
      <c r="E135" s="2">
        <v>31.23</v>
      </c>
      <c r="F135" s="2">
        <v>93.4</v>
      </c>
      <c r="G135" s="2">
        <f t="shared" si="17"/>
        <v>62.17</v>
      </c>
      <c r="H135">
        <f t="shared" si="18"/>
        <v>12.434000000000001</v>
      </c>
      <c r="I135" t="s">
        <v>40</v>
      </c>
      <c r="J135" t="s">
        <v>41</v>
      </c>
      <c r="K135" t="s">
        <v>31</v>
      </c>
    </row>
    <row r="136" spans="1:11" x14ac:dyDescent="0.25">
      <c r="A136" t="s">
        <v>10</v>
      </c>
      <c r="B136" s="1">
        <f t="shared" si="19"/>
        <v>1135</v>
      </c>
      <c r="C136">
        <f t="shared" si="16"/>
        <v>6132</v>
      </c>
      <c r="D136" t="s">
        <v>28</v>
      </c>
      <c r="E136" s="2">
        <v>5.85</v>
      </c>
      <c r="F136" s="2">
        <v>13.86</v>
      </c>
      <c r="G136" s="2">
        <f t="shared" si="17"/>
        <v>8.01</v>
      </c>
      <c r="H136">
        <f t="shared" si="18"/>
        <v>0.80100000000000005</v>
      </c>
      <c r="I136" t="s">
        <v>42</v>
      </c>
      <c r="J136" t="s">
        <v>43</v>
      </c>
      <c r="K136" t="s">
        <v>33</v>
      </c>
    </row>
    <row r="137" spans="1:11" x14ac:dyDescent="0.25">
      <c r="A137" t="s">
        <v>10</v>
      </c>
      <c r="B137" s="1">
        <f t="shared" si="19"/>
        <v>1136</v>
      </c>
      <c r="C137">
        <f t="shared" si="16"/>
        <v>6099</v>
      </c>
      <c r="D137" t="s">
        <v>22</v>
      </c>
      <c r="E137" s="2">
        <v>31.69</v>
      </c>
      <c r="F137" s="2">
        <v>62</v>
      </c>
      <c r="G137" s="2">
        <f t="shared" si="17"/>
        <v>30.31</v>
      </c>
      <c r="H137">
        <f t="shared" si="18"/>
        <v>6.0620000000000003</v>
      </c>
      <c r="I137" t="s">
        <v>36</v>
      </c>
      <c r="J137" t="s">
        <v>37</v>
      </c>
      <c r="K137" t="s">
        <v>33</v>
      </c>
    </row>
    <row r="138" spans="1:11" x14ac:dyDescent="0.25">
      <c r="A138" t="s">
        <v>10</v>
      </c>
      <c r="B138" s="1">
        <f t="shared" si="19"/>
        <v>1137</v>
      </c>
      <c r="C138">
        <f t="shared" si="16"/>
        <v>6066</v>
      </c>
      <c r="D138" t="s">
        <v>19</v>
      </c>
      <c r="E138" s="2">
        <v>30.05</v>
      </c>
      <c r="F138" s="2">
        <v>101.28</v>
      </c>
      <c r="G138" s="2">
        <f t="shared" si="17"/>
        <v>71.23</v>
      </c>
      <c r="H138">
        <f t="shared" si="18"/>
        <v>14.246000000000002</v>
      </c>
      <c r="I138" t="s">
        <v>40</v>
      </c>
      <c r="J138" t="s">
        <v>41</v>
      </c>
      <c r="K138" t="s">
        <v>32</v>
      </c>
    </row>
    <row r="139" spans="1:11" x14ac:dyDescent="0.25">
      <c r="A139" t="s">
        <v>10</v>
      </c>
      <c r="B139" s="1">
        <f t="shared" si="19"/>
        <v>1138</v>
      </c>
      <c r="C139">
        <f t="shared" si="16"/>
        <v>6033</v>
      </c>
      <c r="D139" t="s">
        <v>26</v>
      </c>
      <c r="E139" s="2">
        <v>22.25</v>
      </c>
      <c r="F139" s="2">
        <v>52.65</v>
      </c>
      <c r="G139" s="2">
        <f t="shared" si="17"/>
        <v>30.4</v>
      </c>
      <c r="H139">
        <f t="shared" si="18"/>
        <v>6.08</v>
      </c>
      <c r="I139" t="s">
        <v>40</v>
      </c>
      <c r="J139" t="s">
        <v>41</v>
      </c>
      <c r="K139" t="s">
        <v>32</v>
      </c>
    </row>
    <row r="140" spans="1:11" x14ac:dyDescent="0.25">
      <c r="A140" t="s">
        <v>10</v>
      </c>
      <c r="B140" s="1">
        <f t="shared" si="19"/>
        <v>1139</v>
      </c>
      <c r="C140">
        <f t="shared" si="16"/>
        <v>6000</v>
      </c>
      <c r="D140" t="s">
        <v>27</v>
      </c>
      <c r="E140" s="2">
        <v>32.32</v>
      </c>
      <c r="F140" s="2">
        <v>73.81</v>
      </c>
      <c r="G140" s="2">
        <f t="shared" si="17"/>
        <v>41.49</v>
      </c>
      <c r="H140">
        <f t="shared" si="18"/>
        <v>8.298</v>
      </c>
      <c r="I140" t="s">
        <v>40</v>
      </c>
      <c r="J140" t="s">
        <v>41</v>
      </c>
      <c r="K140" t="s">
        <v>32</v>
      </c>
    </row>
    <row r="141" spans="1:11" x14ac:dyDescent="0.25">
      <c r="A141" t="s">
        <v>10</v>
      </c>
      <c r="B141" s="1">
        <f t="shared" si="19"/>
        <v>1140</v>
      </c>
      <c r="C141">
        <f t="shared" si="16"/>
        <v>5967</v>
      </c>
      <c r="D141" t="s">
        <v>18</v>
      </c>
      <c r="E141" s="2">
        <v>22.5</v>
      </c>
      <c r="F141" s="2">
        <v>99.83</v>
      </c>
      <c r="G141" s="2">
        <f t="shared" si="17"/>
        <v>77.33</v>
      </c>
      <c r="H141">
        <f t="shared" si="18"/>
        <v>15.466000000000001</v>
      </c>
      <c r="I141" t="s">
        <v>38</v>
      </c>
      <c r="J141" t="s">
        <v>39</v>
      </c>
      <c r="K141" t="s">
        <v>33</v>
      </c>
    </row>
    <row r="142" spans="1:11" x14ac:dyDescent="0.25">
      <c r="A142" t="s">
        <v>10</v>
      </c>
      <c r="B142" s="1">
        <f t="shared" si="19"/>
        <v>1141</v>
      </c>
      <c r="C142">
        <f t="shared" si="16"/>
        <v>5934</v>
      </c>
      <c r="D142" t="s">
        <v>19</v>
      </c>
      <c r="E142" s="2">
        <v>33.06</v>
      </c>
      <c r="F142" s="2">
        <v>77.290000000000006</v>
      </c>
      <c r="G142" s="2">
        <f t="shared" si="17"/>
        <v>44.230000000000004</v>
      </c>
      <c r="H142">
        <f t="shared" si="18"/>
        <v>8.8460000000000019</v>
      </c>
      <c r="I142" t="s">
        <v>38</v>
      </c>
      <c r="J142" t="s">
        <v>39</v>
      </c>
      <c r="K142" t="s">
        <v>33</v>
      </c>
    </row>
    <row r="143" spans="1:11" x14ac:dyDescent="0.25">
      <c r="A143" t="s">
        <v>10</v>
      </c>
      <c r="B143" s="1">
        <f t="shared" si="19"/>
        <v>1142</v>
      </c>
      <c r="C143">
        <f t="shared" ref="C143:C176" si="20">C142-33</f>
        <v>5901</v>
      </c>
      <c r="D143" t="s">
        <v>22</v>
      </c>
      <c r="E143" s="2">
        <v>21.85</v>
      </c>
      <c r="F143" s="2">
        <v>50.78</v>
      </c>
      <c r="G143" s="2">
        <f t="shared" si="17"/>
        <v>28.93</v>
      </c>
      <c r="H143">
        <f t="shared" si="18"/>
        <v>5.7860000000000005</v>
      </c>
      <c r="I143" t="s">
        <v>42</v>
      </c>
      <c r="J143" t="s">
        <v>43</v>
      </c>
      <c r="K143" t="s">
        <v>31</v>
      </c>
    </row>
    <row r="144" spans="1:11" x14ac:dyDescent="0.25">
      <c r="A144" t="s">
        <v>10</v>
      </c>
      <c r="B144" s="1">
        <f t="shared" si="19"/>
        <v>1143</v>
      </c>
      <c r="C144">
        <f t="shared" si="20"/>
        <v>5868</v>
      </c>
      <c r="D144" t="s">
        <v>18</v>
      </c>
      <c r="E144" s="2">
        <v>8.41</v>
      </c>
      <c r="F144" s="2">
        <v>69.77</v>
      </c>
      <c r="G144" s="2">
        <f t="shared" si="17"/>
        <v>61.36</v>
      </c>
      <c r="H144">
        <f t="shared" si="18"/>
        <v>12.272</v>
      </c>
      <c r="I144" t="s">
        <v>40</v>
      </c>
      <c r="J144" t="s">
        <v>41</v>
      </c>
      <c r="K144" t="s">
        <v>31</v>
      </c>
    </row>
    <row r="145" spans="1:11" x14ac:dyDescent="0.25">
      <c r="A145" t="s">
        <v>10</v>
      </c>
      <c r="B145" s="1">
        <f t="shared" si="19"/>
        <v>1144</v>
      </c>
      <c r="C145">
        <f t="shared" si="20"/>
        <v>5835</v>
      </c>
      <c r="D145" t="s">
        <v>19</v>
      </c>
      <c r="E145" s="2">
        <v>36.090000000000003</v>
      </c>
      <c r="F145" s="2">
        <v>65.790000000000006</v>
      </c>
      <c r="G145" s="2">
        <f t="shared" si="17"/>
        <v>29.700000000000003</v>
      </c>
      <c r="H145">
        <f t="shared" si="18"/>
        <v>5.9400000000000013</v>
      </c>
      <c r="I145" t="s">
        <v>36</v>
      </c>
      <c r="J145" t="s">
        <v>37</v>
      </c>
      <c r="K145" t="s">
        <v>32</v>
      </c>
    </row>
    <row r="146" spans="1:11" x14ac:dyDescent="0.25">
      <c r="A146" t="s">
        <v>10</v>
      </c>
      <c r="B146" s="1">
        <f t="shared" si="19"/>
        <v>1145</v>
      </c>
      <c r="C146">
        <f t="shared" si="20"/>
        <v>5802</v>
      </c>
      <c r="D146" t="s">
        <v>26</v>
      </c>
      <c r="E146" s="2">
        <v>20.72</v>
      </c>
      <c r="F146" s="2">
        <v>100.19</v>
      </c>
      <c r="G146" s="2">
        <f t="shared" si="17"/>
        <v>79.47</v>
      </c>
      <c r="H146">
        <f t="shared" si="18"/>
        <v>15.894</v>
      </c>
      <c r="I146" t="s">
        <v>42</v>
      </c>
      <c r="J146" t="s">
        <v>43</v>
      </c>
      <c r="K146" t="s">
        <v>32</v>
      </c>
    </row>
    <row r="147" spans="1:11" x14ac:dyDescent="0.25">
      <c r="A147" t="s">
        <v>10</v>
      </c>
      <c r="B147" s="1">
        <f t="shared" si="19"/>
        <v>1146</v>
      </c>
      <c r="C147">
        <f t="shared" si="20"/>
        <v>5769</v>
      </c>
      <c r="D147" t="s">
        <v>24</v>
      </c>
      <c r="E147" s="2">
        <v>29.81</v>
      </c>
      <c r="F147" s="2">
        <v>61.59</v>
      </c>
      <c r="G147" s="2">
        <f t="shared" si="17"/>
        <v>31.780000000000005</v>
      </c>
      <c r="H147">
        <f t="shared" si="18"/>
        <v>6.3560000000000016</v>
      </c>
      <c r="I147" t="s">
        <v>38</v>
      </c>
      <c r="J147" t="s">
        <v>39</v>
      </c>
      <c r="K147" t="s">
        <v>30</v>
      </c>
    </row>
    <row r="148" spans="1:11" x14ac:dyDescent="0.25">
      <c r="A148" t="s">
        <v>10</v>
      </c>
      <c r="B148" s="1">
        <f t="shared" si="19"/>
        <v>1147</v>
      </c>
      <c r="C148">
        <f t="shared" si="20"/>
        <v>5736</v>
      </c>
      <c r="D148" t="s">
        <v>24</v>
      </c>
      <c r="E148" s="2">
        <v>29.78</v>
      </c>
      <c r="F148" s="2">
        <v>45.58</v>
      </c>
      <c r="G148" s="2">
        <f t="shared" si="17"/>
        <v>15.799999999999997</v>
      </c>
      <c r="H148">
        <f t="shared" si="18"/>
        <v>1.5799999999999998</v>
      </c>
      <c r="I148" t="s">
        <v>42</v>
      </c>
      <c r="J148" t="s">
        <v>43</v>
      </c>
      <c r="K148" t="s">
        <v>31</v>
      </c>
    </row>
    <row r="149" spans="1:11" x14ac:dyDescent="0.25">
      <c r="A149" t="s">
        <v>10</v>
      </c>
      <c r="B149" s="1">
        <f t="shared" si="19"/>
        <v>1148</v>
      </c>
      <c r="C149">
        <f t="shared" si="20"/>
        <v>5703</v>
      </c>
      <c r="D149" t="s">
        <v>25</v>
      </c>
      <c r="E149" s="2">
        <v>6.63</v>
      </c>
      <c r="F149" s="2">
        <v>56.32</v>
      </c>
      <c r="G149" s="2">
        <f t="shared" si="17"/>
        <v>49.69</v>
      </c>
      <c r="H149">
        <f t="shared" si="18"/>
        <v>9.9380000000000006</v>
      </c>
      <c r="I149" t="s">
        <v>38</v>
      </c>
      <c r="J149" t="s">
        <v>39</v>
      </c>
      <c r="K149" t="s">
        <v>32</v>
      </c>
    </row>
    <row r="150" spans="1:11" x14ac:dyDescent="0.25">
      <c r="A150" t="s">
        <v>11</v>
      </c>
      <c r="B150" s="1">
        <f t="shared" si="19"/>
        <v>1149</v>
      </c>
      <c r="C150">
        <f t="shared" si="20"/>
        <v>5670</v>
      </c>
      <c r="D150" t="s">
        <v>21</v>
      </c>
      <c r="E150" s="2">
        <v>42.48</v>
      </c>
      <c r="F150" s="2">
        <v>136.01</v>
      </c>
      <c r="G150" s="2">
        <f t="shared" si="17"/>
        <v>93.53</v>
      </c>
      <c r="H150">
        <f t="shared" si="18"/>
        <v>18.706</v>
      </c>
      <c r="I150" t="s">
        <v>38</v>
      </c>
      <c r="J150" t="s">
        <v>39</v>
      </c>
      <c r="K150" t="s">
        <v>32</v>
      </c>
    </row>
    <row r="151" spans="1:11" x14ac:dyDescent="0.25">
      <c r="A151" t="s">
        <v>11</v>
      </c>
      <c r="B151" s="1">
        <f t="shared" si="19"/>
        <v>1150</v>
      </c>
      <c r="C151">
        <f t="shared" si="20"/>
        <v>5637</v>
      </c>
      <c r="D151" t="s">
        <v>28</v>
      </c>
      <c r="E151" s="2">
        <v>46.82</v>
      </c>
      <c r="F151" s="2">
        <v>62.09</v>
      </c>
      <c r="G151" s="2">
        <f t="shared" si="17"/>
        <v>15.270000000000003</v>
      </c>
      <c r="H151">
        <f t="shared" si="18"/>
        <v>3.0540000000000007</v>
      </c>
      <c r="I151" t="s">
        <v>42</v>
      </c>
      <c r="J151" t="s">
        <v>43</v>
      </c>
      <c r="K151" t="s">
        <v>32</v>
      </c>
    </row>
    <row r="152" spans="1:11" x14ac:dyDescent="0.25">
      <c r="A152" t="s">
        <v>11</v>
      </c>
      <c r="B152" s="1">
        <f t="shared" si="19"/>
        <v>1151</v>
      </c>
      <c r="C152">
        <f t="shared" si="20"/>
        <v>5604</v>
      </c>
      <c r="D152" t="s">
        <v>18</v>
      </c>
      <c r="E152" s="2">
        <v>8.2100000000000009</v>
      </c>
      <c r="F152" s="2">
        <v>100.66</v>
      </c>
      <c r="G152" s="2">
        <f t="shared" si="17"/>
        <v>92.449999999999989</v>
      </c>
      <c r="H152">
        <f t="shared" si="18"/>
        <v>18.489999999999998</v>
      </c>
      <c r="I152" t="s">
        <v>38</v>
      </c>
      <c r="J152" t="s">
        <v>39</v>
      </c>
      <c r="K152" t="s">
        <v>33</v>
      </c>
    </row>
    <row r="153" spans="1:11" x14ac:dyDescent="0.25">
      <c r="A153" t="s">
        <v>11</v>
      </c>
      <c r="B153" s="1">
        <f t="shared" si="19"/>
        <v>1152</v>
      </c>
      <c r="C153">
        <f t="shared" si="20"/>
        <v>5571</v>
      </c>
      <c r="D153" t="s">
        <v>25</v>
      </c>
      <c r="E153" s="2">
        <v>7.8</v>
      </c>
      <c r="F153" s="2">
        <v>93.12</v>
      </c>
      <c r="G153" s="2">
        <f t="shared" si="17"/>
        <v>85.320000000000007</v>
      </c>
      <c r="H153">
        <f t="shared" si="18"/>
        <v>17.064000000000004</v>
      </c>
      <c r="I153" t="s">
        <v>40</v>
      </c>
      <c r="J153" t="s">
        <v>41</v>
      </c>
      <c r="K153" t="s">
        <v>33</v>
      </c>
    </row>
    <row r="154" spans="1:11" x14ac:dyDescent="0.25">
      <c r="A154" t="s">
        <v>11</v>
      </c>
      <c r="B154" s="1">
        <f t="shared" si="19"/>
        <v>1153</v>
      </c>
      <c r="C154">
        <f t="shared" si="20"/>
        <v>5538</v>
      </c>
      <c r="D154" t="s">
        <v>24</v>
      </c>
      <c r="E154" s="2">
        <v>25.31</v>
      </c>
      <c r="F154" s="2">
        <v>38.32</v>
      </c>
      <c r="G154" s="2">
        <f t="shared" si="17"/>
        <v>13.010000000000002</v>
      </c>
      <c r="H154">
        <f t="shared" si="18"/>
        <v>1.3010000000000002</v>
      </c>
      <c r="I154" t="s">
        <v>36</v>
      </c>
      <c r="J154" t="s">
        <v>37</v>
      </c>
      <c r="K154" t="s">
        <v>30</v>
      </c>
    </row>
    <row r="155" spans="1:11" x14ac:dyDescent="0.25">
      <c r="A155" t="s">
        <v>11</v>
      </c>
      <c r="B155" s="1">
        <f t="shared" si="19"/>
        <v>1154</v>
      </c>
      <c r="C155">
        <f t="shared" si="20"/>
        <v>5505</v>
      </c>
      <c r="D155" t="s">
        <v>21</v>
      </c>
      <c r="E155" s="2">
        <v>46.37</v>
      </c>
      <c r="F155" s="2">
        <v>120.96</v>
      </c>
      <c r="G155" s="2">
        <f t="shared" si="17"/>
        <v>74.59</v>
      </c>
      <c r="H155">
        <f t="shared" si="18"/>
        <v>14.918000000000001</v>
      </c>
      <c r="I155" t="s">
        <v>38</v>
      </c>
      <c r="J155" t="s">
        <v>39</v>
      </c>
      <c r="K155" t="s">
        <v>33</v>
      </c>
    </row>
    <row r="156" spans="1:11" x14ac:dyDescent="0.25">
      <c r="A156" t="s">
        <v>11</v>
      </c>
      <c r="B156" s="1">
        <f t="shared" si="19"/>
        <v>1155</v>
      </c>
      <c r="C156">
        <f t="shared" si="20"/>
        <v>5472</v>
      </c>
      <c r="D156" t="s">
        <v>21</v>
      </c>
      <c r="E156" s="2">
        <v>36.21</v>
      </c>
      <c r="F156" s="2">
        <v>51.02</v>
      </c>
      <c r="G156" s="2">
        <f t="shared" si="17"/>
        <v>14.810000000000002</v>
      </c>
      <c r="H156">
        <f t="shared" si="18"/>
        <v>2.9620000000000006</v>
      </c>
      <c r="I156" t="s">
        <v>36</v>
      </c>
      <c r="J156" t="s">
        <v>37</v>
      </c>
      <c r="K156" t="s">
        <v>30</v>
      </c>
    </row>
    <row r="157" spans="1:11" x14ac:dyDescent="0.25">
      <c r="A157" t="s">
        <v>11</v>
      </c>
      <c r="B157" s="1">
        <f t="shared" si="19"/>
        <v>1156</v>
      </c>
      <c r="C157">
        <f t="shared" si="20"/>
        <v>5439</v>
      </c>
      <c r="D157" t="s">
        <v>24</v>
      </c>
      <c r="E157" s="2">
        <v>40.270000000000003</v>
      </c>
      <c r="F157" s="2">
        <v>118.07</v>
      </c>
      <c r="G157" s="2">
        <f t="shared" si="17"/>
        <v>77.799999999999983</v>
      </c>
      <c r="H157">
        <f t="shared" si="18"/>
        <v>15.559999999999997</v>
      </c>
      <c r="I157" t="s">
        <v>38</v>
      </c>
      <c r="J157" t="s">
        <v>39</v>
      </c>
      <c r="K157" t="s">
        <v>33</v>
      </c>
    </row>
    <row r="158" spans="1:11" x14ac:dyDescent="0.25">
      <c r="A158" t="s">
        <v>11</v>
      </c>
      <c r="B158" s="1">
        <f t="shared" si="19"/>
        <v>1157</v>
      </c>
      <c r="C158">
        <f t="shared" si="20"/>
        <v>5406</v>
      </c>
      <c r="D158" t="s">
        <v>23</v>
      </c>
      <c r="E158" s="2">
        <v>23.55</v>
      </c>
      <c r="F158" s="2">
        <v>63.63</v>
      </c>
      <c r="G158" s="2">
        <f t="shared" si="17"/>
        <v>40.08</v>
      </c>
      <c r="H158">
        <f t="shared" si="18"/>
        <v>8.016</v>
      </c>
      <c r="I158" t="s">
        <v>42</v>
      </c>
      <c r="J158" t="s">
        <v>43</v>
      </c>
      <c r="K158" t="s">
        <v>32</v>
      </c>
    </row>
    <row r="159" spans="1:11" x14ac:dyDescent="0.25">
      <c r="A159" t="s">
        <v>11</v>
      </c>
      <c r="B159" s="1">
        <f t="shared" si="19"/>
        <v>1158</v>
      </c>
      <c r="C159">
        <f t="shared" si="20"/>
        <v>5373</v>
      </c>
      <c r="D159" t="s">
        <v>22</v>
      </c>
      <c r="E159" s="2">
        <v>45.6</v>
      </c>
      <c r="F159" s="2">
        <v>123.96</v>
      </c>
      <c r="G159" s="2">
        <f t="shared" si="17"/>
        <v>78.359999999999985</v>
      </c>
      <c r="H159">
        <f t="shared" si="18"/>
        <v>15.671999999999997</v>
      </c>
      <c r="I159" t="s">
        <v>40</v>
      </c>
      <c r="J159" t="s">
        <v>41</v>
      </c>
      <c r="K159" t="s">
        <v>33</v>
      </c>
    </row>
    <row r="160" spans="1:11" x14ac:dyDescent="0.25">
      <c r="A160" t="s">
        <v>11</v>
      </c>
      <c r="B160" s="1">
        <f t="shared" si="19"/>
        <v>1159</v>
      </c>
      <c r="C160">
        <f t="shared" si="20"/>
        <v>5340</v>
      </c>
      <c r="D160" t="s">
        <v>25</v>
      </c>
      <c r="E160" s="2">
        <v>25.18</v>
      </c>
      <c r="F160" s="2">
        <v>121.6</v>
      </c>
      <c r="G160" s="2">
        <f t="shared" si="17"/>
        <v>96.419999999999987</v>
      </c>
      <c r="H160">
        <f t="shared" si="18"/>
        <v>19.283999999999999</v>
      </c>
      <c r="I160" t="s">
        <v>40</v>
      </c>
      <c r="J160" t="s">
        <v>41</v>
      </c>
      <c r="K160" t="s">
        <v>33</v>
      </c>
    </row>
    <row r="161" spans="1:11" x14ac:dyDescent="0.25">
      <c r="A161" t="s">
        <v>11</v>
      </c>
      <c r="B161" s="1">
        <f t="shared" si="19"/>
        <v>1160</v>
      </c>
      <c r="C161">
        <f t="shared" si="20"/>
        <v>5307</v>
      </c>
      <c r="D161" t="s">
        <v>25</v>
      </c>
      <c r="E161" s="2">
        <v>44.38</v>
      </c>
      <c r="F161" s="2">
        <v>50.71</v>
      </c>
      <c r="G161" s="2">
        <f t="shared" si="17"/>
        <v>6.3299999999999983</v>
      </c>
      <c r="H161">
        <f t="shared" si="18"/>
        <v>1.2659999999999998</v>
      </c>
      <c r="I161" t="s">
        <v>36</v>
      </c>
      <c r="J161" t="s">
        <v>37</v>
      </c>
      <c r="K161" t="s">
        <v>30</v>
      </c>
    </row>
    <row r="162" spans="1:11" x14ac:dyDescent="0.25">
      <c r="A162" t="s">
        <v>11</v>
      </c>
      <c r="B162" s="1">
        <f t="shared" si="19"/>
        <v>1161</v>
      </c>
      <c r="C162">
        <f t="shared" si="20"/>
        <v>5274</v>
      </c>
      <c r="D162" t="s">
        <v>21</v>
      </c>
      <c r="E162" s="2">
        <v>9.44</v>
      </c>
      <c r="F162" s="2">
        <v>16.350000000000001</v>
      </c>
      <c r="G162" s="2">
        <f t="shared" ref="G162:G193" si="21">F162-E162</f>
        <v>6.9100000000000019</v>
      </c>
      <c r="H162">
        <f t="shared" ref="H162:H193" si="22">IF(F162&gt;50,G162*0.2,G162*0.1)</f>
        <v>0.69100000000000028</v>
      </c>
      <c r="I162" t="s">
        <v>42</v>
      </c>
      <c r="J162" t="s">
        <v>43</v>
      </c>
      <c r="K162" t="s">
        <v>30</v>
      </c>
    </row>
    <row r="163" spans="1:11" x14ac:dyDescent="0.25">
      <c r="A163" t="s">
        <v>11</v>
      </c>
      <c r="B163" s="1">
        <f t="shared" ref="B163:B176" si="23">B162+1</f>
        <v>1162</v>
      </c>
      <c r="C163">
        <f t="shared" si="20"/>
        <v>5241</v>
      </c>
      <c r="D163" t="s">
        <v>25</v>
      </c>
      <c r="E163" s="2">
        <v>44.74</v>
      </c>
      <c r="F163" s="2">
        <v>140.62</v>
      </c>
      <c r="G163" s="2">
        <f t="shared" si="21"/>
        <v>95.88</v>
      </c>
      <c r="H163">
        <f t="shared" si="22"/>
        <v>19.175999999999998</v>
      </c>
      <c r="I163" t="s">
        <v>38</v>
      </c>
      <c r="J163" t="s">
        <v>39</v>
      </c>
      <c r="K163" t="s">
        <v>31</v>
      </c>
    </row>
    <row r="164" spans="1:11" x14ac:dyDescent="0.25">
      <c r="A164" t="s">
        <v>12</v>
      </c>
      <c r="B164" s="1">
        <f t="shared" si="23"/>
        <v>1163</v>
      </c>
      <c r="C164">
        <f t="shared" si="20"/>
        <v>5208</v>
      </c>
      <c r="D164" t="s">
        <v>18</v>
      </c>
      <c r="E164" s="2">
        <v>30.47</v>
      </c>
      <c r="F164" s="2">
        <v>58.38</v>
      </c>
      <c r="G164" s="2">
        <f t="shared" si="21"/>
        <v>27.910000000000004</v>
      </c>
      <c r="H164">
        <f t="shared" si="22"/>
        <v>5.5820000000000007</v>
      </c>
      <c r="I164" t="s">
        <v>42</v>
      </c>
      <c r="J164" t="s">
        <v>43</v>
      </c>
      <c r="K164" t="s">
        <v>30</v>
      </c>
    </row>
    <row r="165" spans="1:11" x14ac:dyDescent="0.25">
      <c r="A165" t="s">
        <v>12</v>
      </c>
      <c r="B165" s="1">
        <f t="shared" si="23"/>
        <v>1164</v>
      </c>
      <c r="C165">
        <f t="shared" si="20"/>
        <v>5175</v>
      </c>
      <c r="D165" t="s">
        <v>25</v>
      </c>
      <c r="E165" s="2">
        <v>35.159999999999997</v>
      </c>
      <c r="F165" s="2">
        <v>123.9</v>
      </c>
      <c r="G165" s="2">
        <f t="shared" si="21"/>
        <v>88.740000000000009</v>
      </c>
      <c r="H165">
        <f t="shared" si="22"/>
        <v>17.748000000000001</v>
      </c>
      <c r="I165" t="s">
        <v>38</v>
      </c>
      <c r="J165" t="s">
        <v>39</v>
      </c>
      <c r="K165" t="s">
        <v>31</v>
      </c>
    </row>
    <row r="166" spans="1:11" x14ac:dyDescent="0.25">
      <c r="A166" t="s">
        <v>12</v>
      </c>
      <c r="B166" s="1">
        <f t="shared" si="23"/>
        <v>1165</v>
      </c>
      <c r="C166">
        <f t="shared" si="20"/>
        <v>5142</v>
      </c>
      <c r="D166" t="s">
        <v>27</v>
      </c>
      <c r="E166" s="2">
        <v>23.4</v>
      </c>
      <c r="F166" s="2">
        <v>70.8</v>
      </c>
      <c r="G166" s="2">
        <f t="shared" si="21"/>
        <v>47.4</v>
      </c>
      <c r="H166">
        <f t="shared" si="22"/>
        <v>9.48</v>
      </c>
      <c r="I166" t="s">
        <v>40</v>
      </c>
      <c r="J166" t="s">
        <v>41</v>
      </c>
      <c r="K166" t="s">
        <v>30</v>
      </c>
    </row>
    <row r="167" spans="1:11" x14ac:dyDescent="0.25">
      <c r="A167" t="s">
        <v>12</v>
      </c>
      <c r="B167" s="1">
        <f t="shared" si="23"/>
        <v>1166</v>
      </c>
      <c r="C167">
        <f t="shared" si="20"/>
        <v>5109</v>
      </c>
      <c r="D167" t="s">
        <v>27</v>
      </c>
      <c r="E167" s="2">
        <v>31.32</v>
      </c>
      <c r="F167" s="2">
        <v>122.71</v>
      </c>
      <c r="G167" s="2">
        <f t="shared" si="21"/>
        <v>91.389999999999986</v>
      </c>
      <c r="H167">
        <f t="shared" si="22"/>
        <v>18.277999999999999</v>
      </c>
      <c r="I167" t="s">
        <v>38</v>
      </c>
      <c r="J167" t="s">
        <v>39</v>
      </c>
      <c r="K167" t="s">
        <v>31</v>
      </c>
    </row>
    <row r="168" spans="1:11" x14ac:dyDescent="0.25">
      <c r="A168" t="s">
        <v>12</v>
      </c>
      <c r="B168" s="1">
        <f t="shared" si="23"/>
        <v>1167</v>
      </c>
      <c r="C168">
        <f t="shared" si="20"/>
        <v>5076</v>
      </c>
      <c r="D168" t="s">
        <v>18</v>
      </c>
      <c r="E168" s="2">
        <v>36.909999999999997</v>
      </c>
      <c r="F168" s="2">
        <v>44.36</v>
      </c>
      <c r="G168" s="2">
        <f t="shared" si="21"/>
        <v>7.4500000000000028</v>
      </c>
      <c r="H168">
        <f t="shared" si="22"/>
        <v>0.74500000000000033</v>
      </c>
      <c r="I168" t="s">
        <v>38</v>
      </c>
      <c r="J168" t="s">
        <v>39</v>
      </c>
      <c r="K168" t="s">
        <v>33</v>
      </c>
    </row>
    <row r="169" spans="1:11" x14ac:dyDescent="0.25">
      <c r="A169" t="s">
        <v>12</v>
      </c>
      <c r="B169" s="1">
        <f t="shared" si="23"/>
        <v>1168</v>
      </c>
      <c r="C169">
        <f t="shared" si="20"/>
        <v>5043</v>
      </c>
      <c r="D169" t="s">
        <v>23</v>
      </c>
      <c r="E169" s="2">
        <v>42.06</v>
      </c>
      <c r="F169" s="2">
        <v>116.76</v>
      </c>
      <c r="G169" s="2">
        <f t="shared" si="21"/>
        <v>74.7</v>
      </c>
      <c r="H169">
        <f t="shared" si="22"/>
        <v>14.940000000000001</v>
      </c>
      <c r="I169" t="s">
        <v>42</v>
      </c>
      <c r="J169" t="s">
        <v>43</v>
      </c>
      <c r="K169" t="s">
        <v>31</v>
      </c>
    </row>
    <row r="170" spans="1:11" x14ac:dyDescent="0.25">
      <c r="A170" t="s">
        <v>12</v>
      </c>
      <c r="B170" s="1">
        <f t="shared" si="23"/>
        <v>1169</v>
      </c>
      <c r="C170">
        <f t="shared" si="20"/>
        <v>5010</v>
      </c>
      <c r="D170" t="s">
        <v>23</v>
      </c>
      <c r="E170" s="2">
        <v>42.62</v>
      </c>
      <c r="F170" s="2">
        <v>60.12</v>
      </c>
      <c r="G170" s="2">
        <f t="shared" si="21"/>
        <v>17.5</v>
      </c>
      <c r="H170">
        <f t="shared" si="22"/>
        <v>3.5</v>
      </c>
      <c r="I170" t="s">
        <v>42</v>
      </c>
      <c r="J170" t="s">
        <v>43</v>
      </c>
      <c r="K170" t="s">
        <v>31</v>
      </c>
    </row>
    <row r="171" spans="1:11" x14ac:dyDescent="0.25">
      <c r="A171" t="s">
        <v>12</v>
      </c>
      <c r="B171" s="1">
        <f t="shared" si="23"/>
        <v>1170</v>
      </c>
      <c r="C171">
        <f t="shared" si="20"/>
        <v>4977</v>
      </c>
      <c r="D171" t="s">
        <v>27</v>
      </c>
      <c r="E171" s="2">
        <v>33.71</v>
      </c>
      <c r="F171" s="2">
        <v>55.48</v>
      </c>
      <c r="G171" s="2">
        <f t="shared" si="21"/>
        <v>21.769999999999996</v>
      </c>
      <c r="H171">
        <f t="shared" si="22"/>
        <v>4.3539999999999992</v>
      </c>
      <c r="I171" t="s">
        <v>42</v>
      </c>
      <c r="J171" t="s">
        <v>43</v>
      </c>
      <c r="K171" t="s">
        <v>30</v>
      </c>
    </row>
    <row r="172" spans="1:11" x14ac:dyDescent="0.25">
      <c r="A172" t="s">
        <v>12</v>
      </c>
      <c r="B172" s="1">
        <f t="shared" si="23"/>
        <v>1171</v>
      </c>
      <c r="C172">
        <f t="shared" si="20"/>
        <v>4944</v>
      </c>
      <c r="D172" t="s">
        <v>25</v>
      </c>
      <c r="E172" s="2">
        <v>49.91</v>
      </c>
      <c r="F172" s="2">
        <v>71.27</v>
      </c>
      <c r="G172" s="2">
        <f t="shared" si="21"/>
        <v>21.36</v>
      </c>
      <c r="H172">
        <f t="shared" si="22"/>
        <v>4.2720000000000002</v>
      </c>
      <c r="I172" t="s">
        <v>40</v>
      </c>
      <c r="J172" t="s">
        <v>41</v>
      </c>
      <c r="K172" t="s">
        <v>32</v>
      </c>
    </row>
    <row r="173" spans="1:11" x14ac:dyDescent="0.25">
      <c r="A173" t="s">
        <v>12</v>
      </c>
      <c r="B173" s="1">
        <f t="shared" si="23"/>
        <v>1172</v>
      </c>
      <c r="C173">
        <f t="shared" si="20"/>
        <v>4911</v>
      </c>
      <c r="D173" t="s">
        <v>27</v>
      </c>
      <c r="E173" s="2">
        <v>30.42</v>
      </c>
      <c r="F173" s="2">
        <v>37.020000000000003</v>
      </c>
      <c r="G173" s="2">
        <f t="shared" si="21"/>
        <v>6.6000000000000014</v>
      </c>
      <c r="H173">
        <f t="shared" si="22"/>
        <v>0.66000000000000014</v>
      </c>
      <c r="I173" t="s">
        <v>38</v>
      </c>
      <c r="J173" t="s">
        <v>39</v>
      </c>
      <c r="K173" t="s">
        <v>30</v>
      </c>
    </row>
    <row r="174" spans="1:11" x14ac:dyDescent="0.25">
      <c r="A174" t="s">
        <v>12</v>
      </c>
      <c r="B174" s="1">
        <f t="shared" si="23"/>
        <v>1173</v>
      </c>
      <c r="C174">
        <f t="shared" si="20"/>
        <v>4878</v>
      </c>
      <c r="D174" t="s">
        <v>20</v>
      </c>
      <c r="E174" s="2">
        <v>9.57</v>
      </c>
      <c r="F174" s="2">
        <v>40.799999999999997</v>
      </c>
      <c r="G174" s="2">
        <f t="shared" si="21"/>
        <v>31.229999999999997</v>
      </c>
      <c r="H174">
        <f t="shared" si="22"/>
        <v>3.1229999999999998</v>
      </c>
      <c r="I174" t="s">
        <v>38</v>
      </c>
      <c r="J174" t="s">
        <v>39</v>
      </c>
      <c r="K174" t="s">
        <v>31</v>
      </c>
    </row>
    <row r="175" spans="1:11" x14ac:dyDescent="0.25">
      <c r="A175" t="s">
        <v>12</v>
      </c>
      <c r="B175" s="1">
        <f t="shared" si="23"/>
        <v>1174</v>
      </c>
      <c r="C175">
        <f t="shared" si="20"/>
        <v>4845</v>
      </c>
      <c r="D175" t="s">
        <v>25</v>
      </c>
      <c r="E175" s="2">
        <v>30.93</v>
      </c>
      <c r="F175" s="2">
        <v>118.1</v>
      </c>
      <c r="G175" s="2">
        <f t="shared" si="21"/>
        <v>87.169999999999987</v>
      </c>
      <c r="H175">
        <f t="shared" si="22"/>
        <v>17.433999999999997</v>
      </c>
      <c r="I175" t="s">
        <v>42</v>
      </c>
      <c r="J175" t="s">
        <v>43</v>
      </c>
      <c r="K175" t="s">
        <v>30</v>
      </c>
    </row>
    <row r="176" spans="1:11" x14ac:dyDescent="0.25">
      <c r="A176" t="s">
        <v>12</v>
      </c>
      <c r="B176" s="1">
        <f t="shared" si="23"/>
        <v>1175</v>
      </c>
      <c r="C176">
        <f t="shared" si="20"/>
        <v>4812</v>
      </c>
      <c r="D176" t="s">
        <v>18</v>
      </c>
      <c r="E176" s="2">
        <v>7.29</v>
      </c>
      <c r="F176" s="2">
        <v>33.92</v>
      </c>
      <c r="G176" s="2">
        <f t="shared" si="21"/>
        <v>26.630000000000003</v>
      </c>
      <c r="H176">
        <f t="shared" si="22"/>
        <v>2.6630000000000003</v>
      </c>
      <c r="I176" t="s">
        <v>36</v>
      </c>
      <c r="J176" t="s">
        <v>37</v>
      </c>
      <c r="K176" t="s">
        <v>30</v>
      </c>
    </row>
    <row r="177" spans="1:8" x14ac:dyDescent="0.25">
      <c r="B177" s="1"/>
    </row>
    <row r="179" spans="1:8" x14ac:dyDescent="0.25">
      <c r="A179" t="s">
        <v>54</v>
      </c>
      <c r="F179" s="2">
        <f>SUM(F2:F176)</f>
        <v>14043.459999999997</v>
      </c>
    </row>
    <row r="180" spans="1:8" x14ac:dyDescent="0.25">
      <c r="A180" t="s">
        <v>55</v>
      </c>
      <c r="F180" s="2">
        <f>SUMIF(F2:F176,"&gt;50")</f>
        <v>12919.820000000003</v>
      </c>
      <c r="H180" t="s">
        <v>57</v>
      </c>
    </row>
    <row r="181" spans="1:8" x14ac:dyDescent="0.25">
      <c r="A181" t="s">
        <v>56</v>
      </c>
      <c r="F181" s="2">
        <f>SUMIF(F2:F176,"&lt;=50")</f>
        <v>1123.6400000000001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Liya 😉</cp:lastModifiedBy>
  <cp:lastPrinted>2025-06-20T22:51:26Z</cp:lastPrinted>
  <dcterms:created xsi:type="dcterms:W3CDTF">2025-06-19T23:44:15Z</dcterms:created>
  <dcterms:modified xsi:type="dcterms:W3CDTF">2025-06-23T13:32:13Z</dcterms:modified>
</cp:coreProperties>
</file>